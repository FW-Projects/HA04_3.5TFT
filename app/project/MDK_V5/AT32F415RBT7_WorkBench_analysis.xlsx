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<sst xmlns="http://schemas.openxmlformats.org/spreadsheetml/2006/main" count="117" uniqueCount="89">
  <si>
    <t>AT32F415RBT7_WorkBench</t>
  </si>
  <si>
    <t>lcd.o</t>
  </si>
  <si>
    <t>startup_at32f415.o</t>
  </si>
  <si>
    <t>ha01_handle.o</t>
  </si>
  <si>
    <t>key_handle.o</t>
  </si>
  <si>
    <t>tmt.o</t>
  </si>
  <si>
    <t>encoderec11.o</t>
  </si>
  <si>
    <t>output_handle.o</t>
  </si>
  <si>
    <t>adc_filter.o</t>
  </si>
  <si>
    <t>pid_operation.o</t>
  </si>
  <si>
    <t>lcd_handle.o</t>
  </si>
  <si>
    <t>at32_usart.o</t>
  </si>
  <si>
    <t>flash_handle.o</t>
  </si>
  <si>
    <t>beep.o</t>
  </si>
  <si>
    <t>at32f415_int.o</t>
  </si>
  <si>
    <t>ec11_handle.o</t>
  </si>
  <si>
    <t>wk_system.o</t>
  </si>
  <si>
    <t>system_at32f415.o</t>
  </si>
  <si>
    <t>key.o</t>
  </si>
  <si>
    <t>main.o</t>
  </si>
  <si>
    <t>mf_w.l</t>
  </si>
  <si>
    <t>at32f415_crm.o</t>
  </si>
  <si>
    <t>at32f415_tmr.o</t>
  </si>
  <si>
    <t>at32f415_wk_config.o</t>
  </si>
  <si>
    <t>at32_spiflash.o</t>
  </si>
  <si>
    <t>wk_tmr.o</t>
  </si>
  <si>
    <t>at32f415_adc.o</t>
  </si>
  <si>
    <t>dadd.o</t>
  </si>
  <si>
    <t>at32f415_usart.o</t>
  </si>
  <si>
    <t>mc_w.l</t>
  </si>
  <si>
    <t>at32f415_spi.o</t>
  </si>
  <si>
    <t>at32f415_dma.o</t>
  </si>
  <si>
    <t>wk_gpio.o</t>
  </si>
  <si>
    <t>at32f415_gpio.o</t>
  </si>
  <si>
    <t>dmul.o</t>
  </si>
  <si>
    <t>ddiv.o</t>
  </si>
  <si>
    <t>at32f415_flash.o</t>
  </si>
  <si>
    <t>depilogue.o</t>
  </si>
  <si>
    <t>fadd.o</t>
  </si>
  <si>
    <t>at32f415_misc.o</t>
  </si>
  <si>
    <t>wk_adc.o</t>
  </si>
  <si>
    <t>fdiv.o</t>
  </si>
  <si>
    <t>wk_usart.o</t>
  </si>
  <si>
    <t>wk_spi.o</t>
  </si>
  <si>
    <t>fepilogue.o</t>
  </si>
  <si>
    <t>fmul.o</t>
  </si>
  <si>
    <t>at32f415_crc.o</t>
  </si>
  <si>
    <t>util_queue.o</t>
  </si>
  <si>
    <t>__dczerorl2.o</t>
  </si>
  <si>
    <t>wk_dma.o</t>
  </si>
  <si>
    <t>dfixi.o</t>
  </si>
  <si>
    <t>at32f415_wdt.o</t>
  </si>
  <si>
    <t>d2f.o</t>
  </si>
  <si>
    <t>ffixi.o</t>
  </si>
  <si>
    <t>dfixui.o</t>
  </si>
  <si>
    <t>init.o</t>
  </si>
  <si>
    <t>wk_crc.o</t>
  </si>
  <si>
    <t>ffixui.o</t>
  </si>
  <si>
    <t>flash.o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</si>
  <si>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</si>
  <si>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</si>
  <si>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</si>
  <si>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</si>
  <si>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</si>
  <si>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</si>
  <si>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</si>
  <si>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</si>
  <si>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</si>
  <si>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</si>
  <si>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</si>
  <si>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wk_wdt.o</t>
  </si>
  <si>
    <t>dfltui.o</t>
  </si>
  <si>
    <t>fflti.o</t>
  </si>
  <si>
    <t>wk_debug.o</t>
  </si>
  <si>
    <t>beep_handle.o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</si>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</sst>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ram_percent!$A$3:$A$81</c:f>
              <c:strCache>
                <c:ptCount val="79"/>
                <c:pt idx="0">
                  <c:v>lcd.o</c:v>
                </c:pt>
                <c:pt idx="1">
                  <c:v>startup_at32f415.o</c:v>
                </c:pt>
                <c:pt idx="2">
                  <c:v>ha01_handle.o</c:v>
                </c:pt>
                <c:pt idx="3">
                  <c:v>key_handle.o</c:v>
                </c:pt>
                <c:pt idx="4">
                  <c:v>tmt.o</c:v>
                </c:pt>
                <c:pt idx="5">
                  <c:v>encoderec11.o</c:v>
                </c:pt>
                <c:pt idx="6">
                  <c:v>output_handle.o</c:v>
                </c:pt>
                <c:pt idx="7">
                  <c:v>adc_filter.o</c:v>
                </c:pt>
                <c:pt idx="8">
                  <c:v>pid_operation.o</c:v>
                </c:pt>
                <c:pt idx="9">
                  <c:v>lcd_handle.o</c:v>
                </c:pt>
                <c:pt idx="10">
                  <c:v>at32_usart.o</c:v>
                </c:pt>
                <c:pt idx="11">
                  <c:v>flash_handle.o</c:v>
                </c:pt>
                <c:pt idx="12">
                  <c:v>beep.o</c:v>
                </c:pt>
                <c:pt idx="13">
                  <c:v>at32f415_int.o</c:v>
                </c:pt>
                <c:pt idx="14">
                  <c:v>ec11_handle.o</c:v>
                </c:pt>
                <c:pt idx="15">
                  <c:v>wk_system.o</c:v>
                </c:pt>
                <c:pt idx="16">
                  <c:v>system_at32f415.o</c:v>
                </c:pt>
                <c:pt idx="17">
                  <c:v>key.o</c:v>
                </c:pt>
                <c:pt idx="18">
                  <c:v>main.o</c:v>
                </c:pt>
                <c:pt idx="78">
                  <c:v>Totals</c:v>
                </c:pt>
              </c:strCache>
            </c:strRef>
          </c:cat>
          <c:val>
            <c:numRef>
              <c:f>ram_percent!$B$3:$B$81</c:f>
              <c:numCache>
                <c:formatCode>General</c:formatCode>
                <c:ptCount val="79"/>
                <c:pt idx="0">
                  <c:v>27.20626640319824</c:v>
                </c:pt>
                <c:pt idx="1">
                  <c:v>26.73629188537598</c:v>
                </c:pt>
                <c:pt idx="2">
                  <c:v>26.10966110229492</c:v>
                </c:pt>
                <c:pt idx="3">
                  <c:v>4.229764938354492</c:v>
                </c:pt>
                <c:pt idx="4">
                  <c:v>3.864229679107666</c:v>
                </c:pt>
                <c:pt idx="5">
                  <c:v>2.976501226425171</c:v>
                </c:pt>
                <c:pt idx="6">
                  <c:v>2.584856510162354</c:v>
                </c:pt>
                <c:pt idx="7">
                  <c:v>1.253263711929321</c:v>
                </c:pt>
                <c:pt idx="8">
                  <c:v>1.14882504940033</c:v>
                </c:pt>
                <c:pt idx="9">
                  <c:v>0.9921671152114868</c:v>
                </c:pt>
                <c:pt idx="10">
                  <c:v>0.939947783946991</c:v>
                </c:pt>
                <c:pt idx="11">
                  <c:v>0.6788511872291565</c:v>
                </c:pt>
                <c:pt idx="12">
                  <c:v>0.4438642263412476</c:v>
                </c:pt>
                <c:pt idx="13">
                  <c:v>0.4177545607089996</c:v>
                </c:pt>
                <c:pt idx="14">
                  <c:v>0.1305482983589172</c:v>
                </c:pt>
                <c:pt idx="15">
                  <c:v>0.1044386401772499</c:v>
                </c:pt>
                <c:pt idx="16">
                  <c:v>0.1044386401772499</c:v>
                </c:pt>
                <c:pt idx="17">
                  <c:v>0.05221932008862495</c:v>
                </c:pt>
                <c:pt idx="18">
                  <c:v>0.02610966004431248</c:v>
                </c:pt>
                <c:pt idx="7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flash_percent!$A$3:$A$81</c:f>
              <c:strCache>
                <c:ptCount val="79"/>
                <c:pt idx="0">
                  <c:v>lcd.o</c:v>
                </c:pt>
                <c:pt idx="1">
                  <c:v>lcd_handle.o</c:v>
                </c:pt>
                <c:pt idx="2">
                  <c:v>ec11_handle.o</c:v>
                </c:pt>
                <c:pt idx="3">
                  <c:v>key_handle.o</c:v>
                </c:pt>
                <c:pt idx="4">
                  <c:v>flash_handle.o</c:v>
                </c:pt>
                <c:pt idx="5">
                  <c:v>mf_w.l</c:v>
                </c:pt>
                <c:pt idx="6">
                  <c:v>output_handle.o</c:v>
                </c:pt>
                <c:pt idx="7">
                  <c:v>at32f415_crm.o</c:v>
                </c:pt>
                <c:pt idx="8">
                  <c:v>encoderec11.o</c:v>
                </c:pt>
                <c:pt idx="9">
                  <c:v>at32f415_tmr.o</c:v>
                </c:pt>
                <c:pt idx="10">
                  <c:v>at32f415_int.o</c:v>
                </c:pt>
                <c:pt idx="11">
                  <c:v>main.o</c:v>
                </c:pt>
                <c:pt idx="12">
                  <c:v>key.o</c:v>
                </c:pt>
                <c:pt idx="13">
                  <c:v>startup_at32f415.o</c:v>
                </c:pt>
                <c:pt idx="14">
                  <c:v>tmt.o</c:v>
                </c:pt>
                <c:pt idx="15">
                  <c:v>at32f415_wk_config.o</c:v>
                </c:pt>
                <c:pt idx="16">
                  <c:v>at32_spiflash.o</c:v>
                </c:pt>
                <c:pt idx="17">
                  <c:v>wk_tmr.o</c:v>
                </c:pt>
                <c:pt idx="18">
                  <c:v>at32f415_adc.o</c:v>
                </c:pt>
                <c:pt idx="19">
                  <c:v>dadd.o</c:v>
                </c:pt>
                <c:pt idx="20">
                  <c:v>at32f415_usart.o</c:v>
                </c:pt>
                <c:pt idx="21">
                  <c:v>mc_w.l</c:v>
                </c:pt>
                <c:pt idx="22">
                  <c:v>at32f415_spi.o</c:v>
                </c:pt>
                <c:pt idx="23">
                  <c:v>system_at32f415.o</c:v>
                </c:pt>
                <c:pt idx="24">
                  <c:v>pid_operation.o</c:v>
                </c:pt>
                <c:pt idx="25">
                  <c:v>at32f415_dma.o</c:v>
                </c:pt>
                <c:pt idx="26">
                  <c:v>wk_gpio.o</c:v>
                </c:pt>
                <c:pt idx="27">
                  <c:v>at32f415_gpio.o</c:v>
                </c:pt>
                <c:pt idx="28">
                  <c:v>ha01_handle.o</c:v>
                </c:pt>
                <c:pt idx="29">
                  <c:v>dmul.o</c:v>
                </c:pt>
                <c:pt idx="30">
                  <c:v>ddiv.o</c:v>
                </c:pt>
                <c:pt idx="31">
                  <c:v>at32f415_flash.o</c:v>
                </c:pt>
                <c:pt idx="32">
                  <c:v>depilogue.o</c:v>
                </c:pt>
                <c:pt idx="33">
                  <c:v>adc_filter.o</c:v>
                </c:pt>
                <c:pt idx="34">
                  <c:v>fadd.o</c:v>
                </c:pt>
                <c:pt idx="35">
                  <c:v>at32f415_misc.o</c:v>
                </c:pt>
                <c:pt idx="36">
                  <c:v>beep.o</c:v>
                </c:pt>
                <c:pt idx="37">
                  <c:v>wk_adc.o</c:v>
                </c:pt>
                <c:pt idx="38">
                  <c:v>fdiv.o</c:v>
                </c:pt>
                <c:pt idx="39">
                  <c:v>wk_usart.o</c:v>
                </c:pt>
                <c:pt idx="40">
                  <c:v>wk_spi.o</c:v>
                </c:pt>
                <c:pt idx="41">
                  <c:v>fepilogue.o</c:v>
                </c:pt>
                <c:pt idx="42">
                  <c:v>wk_system.o</c:v>
                </c:pt>
                <c:pt idx="43">
                  <c:v>at32_usart.o</c:v>
                </c:pt>
                <c:pt idx="44">
                  <c:v>fmul.o</c:v>
                </c:pt>
                <c:pt idx="45">
                  <c:v>at32f415_crc.o</c:v>
                </c:pt>
                <c:pt idx="46">
                  <c:v>util_queue.o</c:v>
                </c:pt>
                <c:pt idx="47">
                  <c:v>__dczerorl2.o</c:v>
                </c:pt>
                <c:pt idx="48">
                  <c:v>wk_dma.o</c:v>
                </c:pt>
                <c:pt idx="49">
                  <c:v>dfixi.o</c:v>
                </c:pt>
                <c:pt idx="50">
                  <c:v>at32f415_wdt.o</c:v>
                </c:pt>
                <c:pt idx="51">
                  <c:v>d2f.o</c:v>
                </c:pt>
                <c:pt idx="52">
                  <c:v>ffixi.o</c:v>
                </c:pt>
                <c:pt idx="53">
                  <c:v>dfixui.o</c:v>
                </c:pt>
                <c:pt idx="54">
                  <c:v>init.o</c:v>
                </c:pt>
                <c:pt idx="55">
                  <c:v>wk_crc.o</c:v>
                </c:pt>
                <c:pt idx="56">
                  <c:v>ffixui.o</c:v>
                </c:pt>
                <c:pt idx="57">
                  <c:v>flash.o</c:v>
                </c:pt>
                <c:pt idx="58">
                  <c:v>f2d.o</c:v>
                </c:pt>
                <c:pt idx="59">
                  <c:v>memseta.o</c:v>
                </c:pt>
                <c:pt idx="60">
                  <c:v>llsshr.o</c:v>
                </c:pt>
                <c:pt idx="61">
                  <c:v>llushr.o</c:v>
                </c:pt>
                <c:pt idx="62">
                  <c:v>llshl.o</c:v>
                </c:pt>
                <c:pt idx="63">
                  <c:v>handlers.o</c:v>
                </c:pt>
                <c:pt idx="64">
                  <c:v>fcmplt.o</c:v>
                </c:pt>
                <c:pt idx="65">
                  <c:v>fcmple.o</c:v>
                </c:pt>
                <c:pt idx="66">
                  <c:v>fcmpgt.o</c:v>
                </c:pt>
                <c:pt idx="67">
                  <c:v>fcmpge.o</c:v>
                </c:pt>
                <c:pt idx="68">
                  <c:v>fcmpeq.o</c:v>
                </c:pt>
                <c:pt idx="69">
                  <c:v>wk_wdt.o</c:v>
                </c:pt>
                <c:pt idx="70">
                  <c:v>dfltui.o</c:v>
                </c:pt>
                <c:pt idx="71">
                  <c:v>fflti.o</c:v>
                </c:pt>
                <c:pt idx="72">
                  <c:v>wk_debug.o</c:v>
                </c:pt>
                <c:pt idx="73">
                  <c:v>beep_handle.o</c:v>
                </c:pt>
                <c:pt idx="74">
                  <c:v>ffltui.o</c:v>
                </c:pt>
                <c:pt idx="75">
                  <c:v>entry9a.o</c:v>
                </c:pt>
                <c:pt idx="76">
                  <c:v>entry2.o</c:v>
                </c:pt>
                <c:pt idx="77">
                  <c:v>entry5.o</c:v>
                </c:pt>
                <c:pt idx="78">
                  <c:v>Totals</c:v>
                </c:pt>
              </c:strCache>
            </c:strRef>
          </c:cat>
          <c:val>
            <c:numRef>
              <c:f>flash_percent!$B$3:$B$81</c:f>
              <c:numCache>
                <c:formatCode>General</c:formatCode>
                <c:ptCount val="79"/>
                <c:pt idx="0">
                  <c:v>72.69774627685547</c:v>
                </c:pt>
                <c:pt idx="1">
                  <c:v>4.766440868377686</c:v>
                </c:pt>
                <c:pt idx="2">
                  <c:v>3.741302251815796</c:v>
                </c:pt>
                <c:pt idx="3">
                  <c:v>2.309736967086792</c:v>
                </c:pt>
                <c:pt idx="4">
                  <c:v>1.970443367958069</c:v>
                </c:pt>
                <c:pt idx="5">
                  <c:v>1.787188529968262</c:v>
                </c:pt>
                <c:pt idx="6">
                  <c:v>1.496883749961853</c:v>
                </c:pt>
                <c:pt idx="7">
                  <c:v>0.6912881135940552</c:v>
                </c:pt>
                <c:pt idx="8">
                  <c:v>0.6459280252456665</c:v>
                </c:pt>
                <c:pt idx="9">
                  <c:v>0.5824238657951355</c:v>
                </c:pt>
                <c:pt idx="10">
                  <c:v>0.4608587622642517</c:v>
                </c:pt>
                <c:pt idx="11">
                  <c:v>0.4227562546730042</c:v>
                </c:pt>
                <c:pt idx="12">
                  <c:v>0.3792105615139008</c:v>
                </c:pt>
                <c:pt idx="13">
                  <c:v>0.3665097057819367</c:v>
                </c:pt>
                <c:pt idx="14">
                  <c:v>0.3538088798522949</c:v>
                </c:pt>
                <c:pt idx="15">
                  <c:v>0.3392936587333679</c:v>
                </c:pt>
                <c:pt idx="16">
                  <c:v>0.3265928328037262</c:v>
                </c:pt>
                <c:pt idx="17">
                  <c:v>0.3247784078121185</c:v>
                </c:pt>
                <c:pt idx="18">
                  <c:v>0.3193351924419403</c:v>
                </c:pt>
                <c:pt idx="19">
                  <c:v>0.3030055463314056</c:v>
                </c:pt>
                <c:pt idx="20">
                  <c:v>0.2957479357719421</c:v>
                </c:pt>
                <c:pt idx="21">
                  <c:v>0.2884903252124786</c:v>
                </c:pt>
                <c:pt idx="22">
                  <c:v>0.2866759300231934</c:v>
                </c:pt>
                <c:pt idx="23">
                  <c:v>0.2830471098423004</c:v>
                </c:pt>
                <c:pt idx="24">
                  <c:v>0.2522022426128388</c:v>
                </c:pt>
                <c:pt idx="25">
                  <c:v>0.2431302070617676</c:v>
                </c:pt>
                <c:pt idx="26">
                  <c:v>0.2395014017820358</c:v>
                </c:pt>
                <c:pt idx="27">
                  <c:v>0.2376869916915894</c:v>
                </c:pt>
                <c:pt idx="28">
                  <c:v>0.2104709297418594</c:v>
                </c:pt>
                <c:pt idx="29">
                  <c:v>0.2068421244621277</c:v>
                </c:pt>
                <c:pt idx="30">
                  <c:v>0.2013989090919495</c:v>
                </c:pt>
                <c:pt idx="31">
                  <c:v>0.1923268884420395</c:v>
                </c:pt>
                <c:pt idx="32">
                  <c:v>0.1687396168708801</c:v>
                </c:pt>
                <c:pt idx="33">
                  <c:v>0.1632964164018631</c:v>
                </c:pt>
                <c:pt idx="34">
                  <c:v>0.1596675962209702</c:v>
                </c:pt>
                <c:pt idx="35">
                  <c:v>0.1596675962209702</c:v>
                </c:pt>
                <c:pt idx="36">
                  <c:v>0.1351731419563294</c:v>
                </c:pt>
                <c:pt idx="37">
                  <c:v>0.1306371241807938</c:v>
                </c:pt>
                <c:pt idx="38">
                  <c:v>0.1124930828809738</c:v>
                </c:pt>
                <c:pt idx="39">
                  <c:v>0.1088642701506615</c:v>
                </c:pt>
                <c:pt idx="40">
                  <c:v>0.1088642701506615</c:v>
                </c:pt>
                <c:pt idx="41">
                  <c:v>0.0997922495007515</c:v>
                </c:pt>
                <c:pt idx="42">
                  <c:v>0.09797784686088562</c:v>
                </c:pt>
                <c:pt idx="43">
                  <c:v>0.09797784686088562</c:v>
                </c:pt>
                <c:pt idx="44">
                  <c:v>0.09072022885084152</c:v>
                </c:pt>
                <c:pt idx="45">
                  <c:v>0.09072022885084152</c:v>
                </c:pt>
                <c:pt idx="46">
                  <c:v>0.07983379811048508</c:v>
                </c:pt>
                <c:pt idx="47">
                  <c:v>0.0780193954706192</c:v>
                </c:pt>
                <c:pt idx="48">
                  <c:v>0.05806094408035278</c:v>
                </c:pt>
                <c:pt idx="49">
                  <c:v>0.05624654144048691</c:v>
                </c:pt>
                <c:pt idx="50">
                  <c:v>0.05443213507533073</c:v>
                </c:pt>
                <c:pt idx="51">
                  <c:v>0.05080332607030869</c:v>
                </c:pt>
                <c:pt idx="52">
                  <c:v>0.04536011442542076</c:v>
                </c:pt>
                <c:pt idx="53">
                  <c:v>0.04536011442542076</c:v>
                </c:pt>
                <c:pt idx="54">
                  <c:v>0.04354570806026459</c:v>
                </c:pt>
                <c:pt idx="55">
                  <c:v>0.04354570806026459</c:v>
                </c:pt>
                <c:pt idx="56">
                  <c:v>0.03628809005022049</c:v>
                </c:pt>
                <c:pt idx="57">
                  <c:v>0.03628809005022049</c:v>
                </c:pt>
                <c:pt idx="58">
                  <c:v>0.03447368741035461</c:v>
                </c:pt>
                <c:pt idx="59">
                  <c:v>0.03265928104519844</c:v>
                </c:pt>
                <c:pt idx="60">
                  <c:v>0.03265928104519844</c:v>
                </c:pt>
                <c:pt idx="61">
                  <c:v>0.02903047204017639</c:v>
                </c:pt>
                <c:pt idx="62">
                  <c:v>0.02721606753766537</c:v>
                </c:pt>
                <c:pt idx="63">
                  <c:v>0.02721606753766537</c:v>
                </c:pt>
                <c:pt idx="64">
                  <c:v>0.02540166303515434</c:v>
                </c:pt>
                <c:pt idx="65">
                  <c:v>0.02540166303515434</c:v>
                </c:pt>
                <c:pt idx="66">
                  <c:v>0.02540166303515434</c:v>
                </c:pt>
                <c:pt idx="67">
                  <c:v>0.02540166303515434</c:v>
                </c:pt>
                <c:pt idx="68">
                  <c:v>0.02540166303515434</c:v>
                </c:pt>
                <c:pt idx="69">
                  <c:v>0.02540166303515434</c:v>
                </c:pt>
                <c:pt idx="70">
                  <c:v>0.02358725853264332</c:v>
                </c:pt>
                <c:pt idx="71">
                  <c:v>0.01632964052259922</c:v>
                </c:pt>
                <c:pt idx="72">
                  <c:v>0.01088642701506615</c:v>
                </c:pt>
                <c:pt idx="73">
                  <c:v>0.01088642701506615</c:v>
                </c:pt>
                <c:pt idx="74">
                  <c:v>0.009072022512555122</c:v>
                </c:pt>
                <c:pt idx="75">
                  <c:v>0.007257618010044098</c:v>
                </c:pt>
                <c:pt idx="76">
                  <c:v>0.007257618010044098</c:v>
                </c:pt>
                <c:pt idx="77">
                  <c:v>0.003628809005022049</c:v>
                </c:pt>
                <c:pt idx="7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81" totalsRowCount="1">
  <autoFilter ref="A2:H8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81" totalsRowCount="1">
  <autoFilter ref="A2:H8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79</v>
      </c>
      <c r="B2" t="s">
        <v>81</v>
      </c>
      <c r="C2" t="s">
        <v>82</v>
      </c>
      <c r="D2" t="s">
        <v>83</v>
      </c>
      <c r="E2" t="s">
        <v>84</v>
      </c>
      <c r="F2" t="s">
        <v>85</v>
      </c>
      <c r="G2" t="s">
        <v>86</v>
      </c>
      <c r="H2" t="s">
        <v>87</v>
      </c>
    </row>
    <row r="3" spans="1:8">
      <c r="A3" s="1" t="s">
        <v>1</v>
      </c>
      <c r="B3" s="2">
        <v>27.20626640319824</v>
      </c>
      <c r="C3" s="1">
        <v>1042</v>
      </c>
      <c r="D3" s="1">
        <v>80134</v>
      </c>
      <c r="E3" s="1">
        <v>3516</v>
      </c>
      <c r="F3" s="1">
        <v>76618</v>
      </c>
      <c r="G3" s="1">
        <v>0</v>
      </c>
      <c r="H3" s="1">
        <v>1042</v>
      </c>
    </row>
    <row r="4" spans="1:8">
      <c r="A4" s="1" t="s">
        <v>2</v>
      </c>
      <c r="B4" s="2">
        <v>26.73629188537598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5" spans="1:8">
      <c r="A5" s="1" t="s">
        <v>3</v>
      </c>
      <c r="B5" s="2">
        <v>26.10966110229492</v>
      </c>
      <c r="C5" s="1">
        <v>1000</v>
      </c>
      <c r="D5" s="1">
        <v>232</v>
      </c>
      <c r="E5" s="1">
        <v>232</v>
      </c>
      <c r="F5" s="1">
        <v>0</v>
      </c>
      <c r="G5" s="1">
        <v>0</v>
      </c>
      <c r="H5" s="1">
        <v>1000</v>
      </c>
    </row>
    <row r="6" spans="1:8">
      <c r="A6" s="1" t="s">
        <v>4</v>
      </c>
      <c r="B6" s="2">
        <v>4.229764938354492</v>
      </c>
      <c r="C6" s="1">
        <v>162</v>
      </c>
      <c r="D6" s="1">
        <v>2546</v>
      </c>
      <c r="E6" s="1">
        <v>2370</v>
      </c>
      <c r="F6" s="1">
        <v>24</v>
      </c>
      <c r="G6" s="1">
        <v>152</v>
      </c>
      <c r="H6" s="1">
        <v>10</v>
      </c>
    </row>
    <row r="7" spans="1:8">
      <c r="A7" s="1" t="s">
        <v>5</v>
      </c>
      <c r="B7" s="2">
        <v>3.864229679107666</v>
      </c>
      <c r="C7" s="1">
        <v>148</v>
      </c>
      <c r="D7" s="1">
        <v>390</v>
      </c>
      <c r="E7" s="1">
        <v>390</v>
      </c>
      <c r="F7" s="1">
        <v>0</v>
      </c>
      <c r="G7" s="1">
        <v>0</v>
      </c>
      <c r="H7" s="1">
        <v>148</v>
      </c>
    </row>
    <row r="8" spans="1:8">
      <c r="A8" s="1" t="s">
        <v>6</v>
      </c>
      <c r="B8" s="2">
        <v>2.976501226425171</v>
      </c>
      <c r="C8" s="1">
        <v>114</v>
      </c>
      <c r="D8" s="1">
        <v>712</v>
      </c>
      <c r="E8" s="1">
        <v>600</v>
      </c>
      <c r="F8" s="1">
        <v>0</v>
      </c>
      <c r="G8" s="1">
        <v>112</v>
      </c>
      <c r="H8" s="1">
        <v>2</v>
      </c>
    </row>
    <row r="9" spans="1:8">
      <c r="A9" s="1" t="s">
        <v>7</v>
      </c>
      <c r="B9" s="2">
        <v>2.584856510162354</v>
      </c>
      <c r="C9" s="1">
        <v>99</v>
      </c>
      <c r="D9" s="1">
        <v>1650</v>
      </c>
      <c r="E9" s="1">
        <v>1568</v>
      </c>
      <c r="F9" s="1">
        <v>0</v>
      </c>
      <c r="G9" s="1">
        <v>82</v>
      </c>
      <c r="H9" s="1">
        <v>17</v>
      </c>
    </row>
    <row r="10" spans="1:8">
      <c r="A10" s="1" t="s">
        <v>8</v>
      </c>
      <c r="B10" s="2">
        <v>1.253263711929321</v>
      </c>
      <c r="C10" s="1">
        <v>48</v>
      </c>
      <c r="D10" s="1">
        <v>180</v>
      </c>
      <c r="E10" s="1">
        <v>180</v>
      </c>
      <c r="F10" s="1">
        <v>0</v>
      </c>
      <c r="G10" s="1">
        <v>0</v>
      </c>
      <c r="H10" s="1">
        <v>48</v>
      </c>
    </row>
    <row r="11" spans="1:8">
      <c r="A11" s="1" t="s">
        <v>9</v>
      </c>
      <c r="B11" s="2">
        <v>1.14882504940033</v>
      </c>
      <c r="C11" s="1">
        <v>44</v>
      </c>
      <c r="D11" s="1">
        <v>278</v>
      </c>
      <c r="E11" s="1">
        <v>278</v>
      </c>
      <c r="F11" s="1">
        <v>0</v>
      </c>
      <c r="G11" s="1">
        <v>0</v>
      </c>
      <c r="H11" s="1">
        <v>44</v>
      </c>
    </row>
    <row r="12" spans="1:8">
      <c r="A12" s="1" t="s">
        <v>10</v>
      </c>
      <c r="B12" s="2">
        <v>0.9921671152114868</v>
      </c>
      <c r="C12" s="1">
        <v>38</v>
      </c>
      <c r="D12" s="1">
        <v>5254</v>
      </c>
      <c r="E12" s="1">
        <v>5242</v>
      </c>
      <c r="F12" s="1">
        <v>0</v>
      </c>
      <c r="G12" s="1">
        <v>12</v>
      </c>
      <c r="H12" s="1">
        <v>26</v>
      </c>
    </row>
    <row r="13" spans="1:8">
      <c r="A13" s="1" t="s">
        <v>11</v>
      </c>
      <c r="B13" s="2">
        <v>0.939947783946991</v>
      </c>
      <c r="C13" s="1">
        <v>36</v>
      </c>
      <c r="D13" s="1">
        <v>108</v>
      </c>
      <c r="E13" s="1">
        <v>108</v>
      </c>
      <c r="F13" s="1">
        <v>0</v>
      </c>
      <c r="G13" s="1">
        <v>0</v>
      </c>
      <c r="H13" s="1">
        <v>36</v>
      </c>
    </row>
    <row r="14" spans="1:8">
      <c r="A14" s="1" t="s">
        <v>12</v>
      </c>
      <c r="B14" s="2">
        <v>0.6788511872291565</v>
      </c>
      <c r="C14" s="1">
        <v>26</v>
      </c>
      <c r="D14" s="1">
        <v>2172</v>
      </c>
      <c r="E14" s="1">
        <v>2172</v>
      </c>
      <c r="F14" s="1">
        <v>0</v>
      </c>
      <c r="G14" s="1">
        <v>0</v>
      </c>
      <c r="H14" s="1">
        <v>26</v>
      </c>
    </row>
    <row r="15" spans="1:8">
      <c r="A15" s="1" t="s">
        <v>13</v>
      </c>
      <c r="B15" s="2">
        <v>0.4438642263412476</v>
      </c>
      <c r="C15" s="1">
        <v>17</v>
      </c>
      <c r="D15" s="1">
        <v>149</v>
      </c>
      <c r="E15" s="1">
        <v>128</v>
      </c>
      <c r="F15" s="1">
        <v>5</v>
      </c>
      <c r="G15" s="1">
        <v>16</v>
      </c>
      <c r="H15" s="1">
        <v>1</v>
      </c>
    </row>
    <row r="16" spans="1:8">
      <c r="A16" s="1" t="s">
        <v>14</v>
      </c>
      <c r="B16" s="2">
        <v>0.4177545607089996</v>
      </c>
      <c r="C16" s="1">
        <v>16</v>
      </c>
      <c r="D16" s="1">
        <v>508</v>
      </c>
      <c r="E16" s="1">
        <v>500</v>
      </c>
      <c r="F16" s="1">
        <v>0</v>
      </c>
      <c r="G16" s="1">
        <v>8</v>
      </c>
      <c r="H16" s="1">
        <v>8</v>
      </c>
    </row>
    <row r="17" spans="1:8">
      <c r="A17" s="1" t="s">
        <v>15</v>
      </c>
      <c r="B17" s="2">
        <v>0.1305482983589172</v>
      </c>
      <c r="C17" s="1">
        <v>5</v>
      </c>
      <c r="D17" s="1">
        <v>4124</v>
      </c>
      <c r="E17" s="1">
        <v>4122</v>
      </c>
      <c r="F17" s="1">
        <v>0</v>
      </c>
      <c r="G17" s="1">
        <v>2</v>
      </c>
      <c r="H17" s="1">
        <v>3</v>
      </c>
    </row>
    <row r="18" spans="1:8">
      <c r="A18" s="1" t="s">
        <v>16</v>
      </c>
      <c r="B18" s="2">
        <v>0.1044386401772499</v>
      </c>
      <c r="C18" s="1">
        <v>4</v>
      </c>
      <c r="D18" s="1">
        <v>108</v>
      </c>
      <c r="E18" s="1">
        <v>108</v>
      </c>
      <c r="F18" s="1">
        <v>0</v>
      </c>
      <c r="G18" s="1">
        <v>0</v>
      </c>
      <c r="H18" s="1">
        <v>4</v>
      </c>
    </row>
    <row r="19" spans="1:8">
      <c r="A19" s="1" t="s">
        <v>17</v>
      </c>
      <c r="B19" s="2">
        <v>0.1044386401772499</v>
      </c>
      <c r="C19" s="1">
        <v>4</v>
      </c>
      <c r="D19" s="1">
        <v>312</v>
      </c>
      <c r="E19" s="1">
        <v>308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0.05221932008862495</v>
      </c>
      <c r="C20" s="1">
        <v>2</v>
      </c>
      <c r="D20" s="1">
        <v>418</v>
      </c>
      <c r="E20" s="1">
        <v>416</v>
      </c>
      <c r="F20" s="1">
        <v>0</v>
      </c>
      <c r="G20" s="1">
        <v>2</v>
      </c>
      <c r="H20" s="1">
        <v>0</v>
      </c>
    </row>
    <row r="21" spans="1:8">
      <c r="A21" s="1" t="s">
        <v>19</v>
      </c>
      <c r="B21" s="2">
        <v>0.02610966004431248</v>
      </c>
      <c r="C21" s="1">
        <v>1</v>
      </c>
      <c r="D21" s="1">
        <v>466</v>
      </c>
      <c r="E21" s="1">
        <v>466</v>
      </c>
      <c r="F21" s="1">
        <v>0</v>
      </c>
      <c r="G21" s="1">
        <v>0</v>
      </c>
      <c r="H21" s="1">
        <v>1</v>
      </c>
    </row>
    <row r="81" spans="1:8">
      <c r="A81" t="s">
        <v>80</v>
      </c>
      <c r="B81">
        <f>SUBTOTAL(109,[ram_percent])</f>
        <v>0</v>
      </c>
      <c r="C81">
        <f>SUBTOTAL(109,[ram])</f>
        <v>0</v>
      </c>
      <c r="D81">
        <f>SUBTOTAL(109,[flash])</f>
        <v>0</v>
      </c>
      <c r="E81">
        <f>SUBTOTAL(109,[Code])</f>
        <v>0</v>
      </c>
      <c r="F81">
        <f>SUBTOTAL(109,[RO_data])</f>
        <v>0</v>
      </c>
      <c r="G81">
        <f>SUBTOTAL(109,[RW_data])</f>
        <v>0</v>
      </c>
      <c r="H8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8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79</v>
      </c>
      <c r="B2" t="s">
        <v>88</v>
      </c>
      <c r="C2" t="s">
        <v>83</v>
      </c>
      <c r="D2" t="s">
        <v>82</v>
      </c>
      <c r="E2" t="s">
        <v>84</v>
      </c>
      <c r="F2" t="s">
        <v>85</v>
      </c>
      <c r="G2" t="s">
        <v>86</v>
      </c>
      <c r="H2" t="s">
        <v>87</v>
      </c>
    </row>
    <row r="3" spans="1:8">
      <c r="A3" s="1" t="s">
        <v>1</v>
      </c>
      <c r="B3" s="2">
        <v>72.69774627685547</v>
      </c>
      <c r="C3" s="1">
        <v>80134</v>
      </c>
      <c r="D3" s="1">
        <v>1042</v>
      </c>
      <c r="E3" s="1">
        <v>3516</v>
      </c>
      <c r="F3" s="1">
        <v>76618</v>
      </c>
      <c r="G3" s="1">
        <v>0</v>
      </c>
      <c r="H3" s="1">
        <v>1042</v>
      </c>
    </row>
    <row r="4" spans="1:8">
      <c r="A4" s="1" t="s">
        <v>10</v>
      </c>
      <c r="B4" s="2">
        <v>4.766440868377686</v>
      </c>
      <c r="C4" s="1">
        <v>5254</v>
      </c>
      <c r="D4" s="1">
        <v>38</v>
      </c>
      <c r="E4" s="1">
        <v>5242</v>
      </c>
      <c r="F4" s="1">
        <v>0</v>
      </c>
      <c r="G4" s="1">
        <v>12</v>
      </c>
      <c r="H4" s="1">
        <v>26</v>
      </c>
    </row>
    <row r="5" spans="1:8">
      <c r="A5" s="1" t="s">
        <v>15</v>
      </c>
      <c r="B5" s="2">
        <v>3.741302251815796</v>
      </c>
      <c r="C5" s="1">
        <v>4124</v>
      </c>
      <c r="D5" s="1">
        <v>5</v>
      </c>
      <c r="E5" s="1">
        <v>4122</v>
      </c>
      <c r="F5" s="1">
        <v>0</v>
      </c>
      <c r="G5" s="1">
        <v>2</v>
      </c>
      <c r="H5" s="1">
        <v>3</v>
      </c>
    </row>
    <row r="6" spans="1:8">
      <c r="A6" s="1" t="s">
        <v>4</v>
      </c>
      <c r="B6" s="2">
        <v>2.309736967086792</v>
      </c>
      <c r="C6" s="1">
        <v>2546</v>
      </c>
      <c r="D6" s="1">
        <v>162</v>
      </c>
      <c r="E6" s="1">
        <v>2370</v>
      </c>
      <c r="F6" s="1">
        <v>24</v>
      </c>
      <c r="G6" s="1">
        <v>152</v>
      </c>
      <c r="H6" s="1">
        <v>10</v>
      </c>
    </row>
    <row r="7" spans="1:8">
      <c r="A7" s="1" t="s">
        <v>12</v>
      </c>
      <c r="B7" s="2">
        <v>1.970443367958069</v>
      </c>
      <c r="C7" s="1">
        <v>2172</v>
      </c>
      <c r="D7" s="1">
        <v>26</v>
      </c>
      <c r="E7" s="1">
        <v>2172</v>
      </c>
      <c r="F7" s="1">
        <v>0</v>
      </c>
      <c r="G7" s="1">
        <v>0</v>
      </c>
      <c r="H7" s="1">
        <v>26</v>
      </c>
    </row>
    <row r="8" spans="1:8">
      <c r="A8" s="1" t="s">
        <v>20</v>
      </c>
      <c r="B8" s="2">
        <v>1.787188529968262</v>
      </c>
      <c r="C8" s="1">
        <v>1970</v>
      </c>
      <c r="D8" s="1">
        <v>0</v>
      </c>
      <c r="E8" s="1">
        <v>1970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1.496883749961853</v>
      </c>
      <c r="C9" s="1">
        <v>1650</v>
      </c>
      <c r="D9" s="1">
        <v>99</v>
      </c>
      <c r="E9" s="1">
        <v>1568</v>
      </c>
      <c r="F9" s="1">
        <v>0</v>
      </c>
      <c r="G9" s="1">
        <v>82</v>
      </c>
      <c r="H9" s="1">
        <v>17</v>
      </c>
    </row>
    <row r="10" spans="1:8">
      <c r="A10" s="1" t="s">
        <v>21</v>
      </c>
      <c r="B10" s="2">
        <v>0.6912881135940552</v>
      </c>
      <c r="C10" s="1">
        <v>762</v>
      </c>
      <c r="D10" s="1">
        <v>0</v>
      </c>
      <c r="E10" s="1">
        <v>754</v>
      </c>
      <c r="F10" s="1">
        <v>8</v>
      </c>
      <c r="G10" s="1">
        <v>0</v>
      </c>
      <c r="H10" s="1">
        <v>0</v>
      </c>
    </row>
    <row r="11" spans="1:8">
      <c r="A11" s="1" t="s">
        <v>6</v>
      </c>
      <c r="B11" s="2">
        <v>0.6459280252456665</v>
      </c>
      <c r="C11" s="1">
        <v>712</v>
      </c>
      <c r="D11" s="1">
        <v>114</v>
      </c>
      <c r="E11" s="1">
        <v>600</v>
      </c>
      <c r="F11" s="1">
        <v>0</v>
      </c>
      <c r="G11" s="1">
        <v>112</v>
      </c>
      <c r="H11" s="1">
        <v>2</v>
      </c>
    </row>
    <row r="12" spans="1:8">
      <c r="A12" s="1" t="s">
        <v>22</v>
      </c>
      <c r="B12" s="2">
        <v>0.5824238657951355</v>
      </c>
      <c r="C12" s="1">
        <v>642</v>
      </c>
      <c r="D12" s="1">
        <v>0</v>
      </c>
      <c r="E12" s="1">
        <v>642</v>
      </c>
      <c r="F12" s="1">
        <v>0</v>
      </c>
      <c r="G12" s="1">
        <v>0</v>
      </c>
      <c r="H12" s="1">
        <v>0</v>
      </c>
    </row>
    <row r="13" spans="1:8">
      <c r="A13" s="1" t="s">
        <v>14</v>
      </c>
      <c r="B13" s="2">
        <v>0.4608587622642517</v>
      </c>
      <c r="C13" s="1">
        <v>508</v>
      </c>
      <c r="D13" s="1">
        <v>16</v>
      </c>
      <c r="E13" s="1">
        <v>500</v>
      </c>
      <c r="F13" s="1">
        <v>0</v>
      </c>
      <c r="G13" s="1">
        <v>8</v>
      </c>
      <c r="H13" s="1">
        <v>8</v>
      </c>
    </row>
    <row r="14" spans="1:8">
      <c r="A14" s="1" t="s">
        <v>19</v>
      </c>
      <c r="B14" s="2">
        <v>0.4227562546730042</v>
      </c>
      <c r="C14" s="1">
        <v>466</v>
      </c>
      <c r="D14" s="1">
        <v>1</v>
      </c>
      <c r="E14" s="1">
        <v>466</v>
      </c>
      <c r="F14" s="1">
        <v>0</v>
      </c>
      <c r="G14" s="1">
        <v>0</v>
      </c>
      <c r="H14" s="1">
        <v>1</v>
      </c>
    </row>
    <row r="15" spans="1:8">
      <c r="A15" s="1" t="s">
        <v>18</v>
      </c>
      <c r="B15" s="2">
        <v>0.3792105615139008</v>
      </c>
      <c r="C15" s="1">
        <v>418</v>
      </c>
      <c r="D15" s="1">
        <v>2</v>
      </c>
      <c r="E15" s="1">
        <v>416</v>
      </c>
      <c r="F15" s="1">
        <v>0</v>
      </c>
      <c r="G15" s="1">
        <v>2</v>
      </c>
      <c r="H15" s="1">
        <v>0</v>
      </c>
    </row>
    <row r="16" spans="1:8">
      <c r="A16" s="1" t="s">
        <v>2</v>
      </c>
      <c r="B16" s="2">
        <v>0.3665097057819367</v>
      </c>
      <c r="C16" s="1">
        <v>404</v>
      </c>
      <c r="D16" s="1">
        <v>1024</v>
      </c>
      <c r="E16" s="1">
        <v>36</v>
      </c>
      <c r="F16" s="1">
        <v>368</v>
      </c>
      <c r="G16" s="1">
        <v>0</v>
      </c>
      <c r="H16" s="1">
        <v>1024</v>
      </c>
    </row>
    <row r="17" spans="1:8">
      <c r="A17" s="1" t="s">
        <v>5</v>
      </c>
      <c r="B17" s="2">
        <v>0.3538088798522949</v>
      </c>
      <c r="C17" s="1">
        <v>390</v>
      </c>
      <c r="D17" s="1">
        <v>148</v>
      </c>
      <c r="E17" s="1">
        <v>390</v>
      </c>
      <c r="F17" s="1">
        <v>0</v>
      </c>
      <c r="G17" s="1">
        <v>0</v>
      </c>
      <c r="H17" s="1">
        <v>148</v>
      </c>
    </row>
    <row r="18" spans="1:8">
      <c r="A18" s="1" t="s">
        <v>23</v>
      </c>
      <c r="B18" s="2">
        <v>0.3392936587333679</v>
      </c>
      <c r="C18" s="1">
        <v>374</v>
      </c>
      <c r="D18" s="1">
        <v>0</v>
      </c>
      <c r="E18" s="1">
        <v>374</v>
      </c>
      <c r="F18" s="1">
        <v>0</v>
      </c>
      <c r="G18" s="1">
        <v>0</v>
      </c>
      <c r="H18" s="1">
        <v>0</v>
      </c>
    </row>
    <row r="19" spans="1:8">
      <c r="A19" s="1" t="s">
        <v>24</v>
      </c>
      <c r="B19" s="2">
        <v>0.3265928328037262</v>
      </c>
      <c r="C19" s="1">
        <v>360</v>
      </c>
      <c r="D19" s="1">
        <v>0</v>
      </c>
      <c r="E19" s="1">
        <v>360</v>
      </c>
      <c r="F19" s="1">
        <v>0</v>
      </c>
      <c r="G19" s="1">
        <v>0</v>
      </c>
      <c r="H19" s="1">
        <v>0</v>
      </c>
    </row>
    <row r="20" spans="1:8">
      <c r="A20" s="1" t="s">
        <v>25</v>
      </c>
      <c r="B20" s="2">
        <v>0.3247784078121185</v>
      </c>
      <c r="C20" s="1">
        <v>358</v>
      </c>
      <c r="D20" s="1">
        <v>0</v>
      </c>
      <c r="E20" s="1">
        <v>358</v>
      </c>
      <c r="F20" s="1">
        <v>0</v>
      </c>
      <c r="G20" s="1">
        <v>0</v>
      </c>
      <c r="H20" s="1">
        <v>0</v>
      </c>
    </row>
    <row r="21" spans="1:8">
      <c r="A21" s="1" t="s">
        <v>26</v>
      </c>
      <c r="B21" s="2">
        <v>0.3193351924419403</v>
      </c>
      <c r="C21" s="1">
        <v>352</v>
      </c>
      <c r="D21" s="1">
        <v>0</v>
      </c>
      <c r="E21" s="1">
        <v>352</v>
      </c>
      <c r="F21" s="1">
        <v>0</v>
      </c>
      <c r="G21" s="1">
        <v>0</v>
      </c>
      <c r="H21" s="1">
        <v>0</v>
      </c>
    </row>
    <row r="22" spans="1:8">
      <c r="A22" s="1" t="s">
        <v>27</v>
      </c>
      <c r="B22" s="2">
        <v>0.3030055463314056</v>
      </c>
      <c r="C22" s="1">
        <v>334</v>
      </c>
      <c r="D22" s="1">
        <v>0</v>
      </c>
      <c r="E22" s="1">
        <v>334</v>
      </c>
      <c r="F22" s="1">
        <v>0</v>
      </c>
      <c r="G22" s="1">
        <v>0</v>
      </c>
      <c r="H22" s="1">
        <v>0</v>
      </c>
    </row>
    <row r="23" spans="1:8">
      <c r="A23" s="1" t="s">
        <v>28</v>
      </c>
      <c r="B23" s="2">
        <v>0.2957479357719421</v>
      </c>
      <c r="C23" s="1">
        <v>326</v>
      </c>
      <c r="D23" s="1">
        <v>0</v>
      </c>
      <c r="E23" s="1">
        <v>326</v>
      </c>
      <c r="F23" s="1">
        <v>0</v>
      </c>
      <c r="G23" s="1">
        <v>0</v>
      </c>
      <c r="H23" s="1">
        <v>0</v>
      </c>
    </row>
    <row r="24" spans="1:8">
      <c r="A24" s="1" t="s">
        <v>29</v>
      </c>
      <c r="B24" s="2">
        <v>0.2884903252124786</v>
      </c>
      <c r="C24" s="1">
        <v>318</v>
      </c>
      <c r="D24" s="1">
        <v>0</v>
      </c>
      <c r="E24" s="1">
        <v>318</v>
      </c>
      <c r="F24" s="1">
        <v>0</v>
      </c>
      <c r="G24" s="1">
        <v>0</v>
      </c>
      <c r="H24" s="1">
        <v>0</v>
      </c>
    </row>
    <row r="25" spans="1:8">
      <c r="A25" s="1" t="s">
        <v>30</v>
      </c>
      <c r="B25" s="2">
        <v>0.2866759300231934</v>
      </c>
      <c r="C25" s="1">
        <v>316</v>
      </c>
      <c r="D25" s="1">
        <v>0</v>
      </c>
      <c r="E25" s="1">
        <v>316</v>
      </c>
      <c r="F25" s="1">
        <v>0</v>
      </c>
      <c r="G25" s="1">
        <v>0</v>
      </c>
      <c r="H25" s="1">
        <v>0</v>
      </c>
    </row>
    <row r="26" spans="1:8">
      <c r="A26" s="1" t="s">
        <v>17</v>
      </c>
      <c r="B26" s="2">
        <v>0.2830471098423004</v>
      </c>
      <c r="C26" s="1">
        <v>312</v>
      </c>
      <c r="D26" s="1">
        <v>4</v>
      </c>
      <c r="E26" s="1">
        <v>308</v>
      </c>
      <c r="F26" s="1">
        <v>0</v>
      </c>
      <c r="G26" s="1">
        <v>4</v>
      </c>
      <c r="H26" s="1">
        <v>0</v>
      </c>
    </row>
    <row r="27" spans="1:8">
      <c r="A27" s="1" t="s">
        <v>9</v>
      </c>
      <c r="B27" s="2">
        <v>0.2522022426128388</v>
      </c>
      <c r="C27" s="1">
        <v>278</v>
      </c>
      <c r="D27" s="1">
        <v>44</v>
      </c>
      <c r="E27" s="1">
        <v>278</v>
      </c>
      <c r="F27" s="1">
        <v>0</v>
      </c>
      <c r="G27" s="1">
        <v>0</v>
      </c>
      <c r="H27" s="1">
        <v>44</v>
      </c>
    </row>
    <row r="28" spans="1:8">
      <c r="A28" s="1" t="s">
        <v>31</v>
      </c>
      <c r="B28" s="2">
        <v>0.2431302070617676</v>
      </c>
      <c r="C28" s="1">
        <v>268</v>
      </c>
      <c r="D28" s="1">
        <v>0</v>
      </c>
      <c r="E28" s="1">
        <v>268</v>
      </c>
      <c r="F28" s="1">
        <v>0</v>
      </c>
      <c r="G28" s="1">
        <v>0</v>
      </c>
      <c r="H28" s="1">
        <v>0</v>
      </c>
    </row>
    <row r="29" spans="1:8">
      <c r="A29" s="1" t="s">
        <v>32</v>
      </c>
      <c r="B29" s="2">
        <v>0.2395014017820358</v>
      </c>
      <c r="C29" s="1">
        <v>264</v>
      </c>
      <c r="D29" s="1">
        <v>0</v>
      </c>
      <c r="E29" s="1">
        <v>264</v>
      </c>
      <c r="F29" s="1">
        <v>0</v>
      </c>
      <c r="G29" s="1">
        <v>0</v>
      </c>
      <c r="H29" s="1">
        <v>0</v>
      </c>
    </row>
    <row r="30" spans="1:8">
      <c r="A30" s="1" t="s">
        <v>33</v>
      </c>
      <c r="B30" s="2">
        <v>0.2376869916915894</v>
      </c>
      <c r="C30" s="1">
        <v>262</v>
      </c>
      <c r="D30" s="1">
        <v>0</v>
      </c>
      <c r="E30" s="1">
        <v>262</v>
      </c>
      <c r="F30" s="1">
        <v>0</v>
      </c>
      <c r="G30" s="1">
        <v>0</v>
      </c>
      <c r="H30" s="1">
        <v>0</v>
      </c>
    </row>
    <row r="31" spans="1:8">
      <c r="A31" s="1" t="s">
        <v>3</v>
      </c>
      <c r="B31" s="2">
        <v>0.2104709297418594</v>
      </c>
      <c r="C31" s="1">
        <v>232</v>
      </c>
      <c r="D31" s="1">
        <v>1000</v>
      </c>
      <c r="E31" s="1">
        <v>232</v>
      </c>
      <c r="F31" s="1">
        <v>0</v>
      </c>
      <c r="G31" s="1">
        <v>0</v>
      </c>
      <c r="H31" s="1">
        <v>1000</v>
      </c>
    </row>
    <row r="32" spans="1:8">
      <c r="A32" s="1" t="s">
        <v>34</v>
      </c>
      <c r="B32" s="2">
        <v>0.2068421244621277</v>
      </c>
      <c r="C32" s="1">
        <v>228</v>
      </c>
      <c r="D32" s="1">
        <v>0</v>
      </c>
      <c r="E32" s="1">
        <v>228</v>
      </c>
      <c r="F32" s="1">
        <v>0</v>
      </c>
      <c r="G32" s="1">
        <v>0</v>
      </c>
      <c r="H32" s="1">
        <v>0</v>
      </c>
    </row>
    <row r="33" spans="1:8">
      <c r="A33" s="1" t="s">
        <v>35</v>
      </c>
      <c r="B33" s="2">
        <v>0.2013989090919495</v>
      </c>
      <c r="C33" s="1">
        <v>222</v>
      </c>
      <c r="D33" s="1">
        <v>0</v>
      </c>
      <c r="E33" s="1">
        <v>222</v>
      </c>
      <c r="F33" s="1">
        <v>0</v>
      </c>
      <c r="G33" s="1">
        <v>0</v>
      </c>
      <c r="H33" s="1">
        <v>0</v>
      </c>
    </row>
    <row r="34" spans="1:8">
      <c r="A34" s="1" t="s">
        <v>36</v>
      </c>
      <c r="B34" s="2">
        <v>0.1923268884420395</v>
      </c>
      <c r="C34" s="1">
        <v>212</v>
      </c>
      <c r="D34" s="1">
        <v>0</v>
      </c>
      <c r="E34" s="1">
        <v>212</v>
      </c>
      <c r="F34" s="1">
        <v>0</v>
      </c>
      <c r="G34" s="1">
        <v>0</v>
      </c>
      <c r="H34" s="1">
        <v>0</v>
      </c>
    </row>
    <row r="35" spans="1:8">
      <c r="A35" s="1" t="s">
        <v>37</v>
      </c>
      <c r="B35" s="2">
        <v>0.1687396168708801</v>
      </c>
      <c r="C35" s="1">
        <v>186</v>
      </c>
      <c r="D35" s="1">
        <v>0</v>
      </c>
      <c r="E35" s="1">
        <v>186</v>
      </c>
      <c r="F35" s="1">
        <v>0</v>
      </c>
      <c r="G35" s="1">
        <v>0</v>
      </c>
      <c r="H35" s="1">
        <v>0</v>
      </c>
    </row>
    <row r="36" spans="1:8">
      <c r="A36" s="1" t="s">
        <v>8</v>
      </c>
      <c r="B36" s="2">
        <v>0.1632964164018631</v>
      </c>
      <c r="C36" s="1">
        <v>180</v>
      </c>
      <c r="D36" s="1">
        <v>48</v>
      </c>
      <c r="E36" s="1">
        <v>180</v>
      </c>
      <c r="F36" s="1">
        <v>0</v>
      </c>
      <c r="G36" s="1">
        <v>0</v>
      </c>
      <c r="H36" s="1">
        <v>48</v>
      </c>
    </row>
    <row r="37" spans="1:8">
      <c r="A37" s="1" t="s">
        <v>38</v>
      </c>
      <c r="B37" s="2">
        <v>0.1596675962209702</v>
      </c>
      <c r="C37" s="1">
        <v>176</v>
      </c>
      <c r="D37" s="1">
        <v>0</v>
      </c>
      <c r="E37" s="1">
        <v>176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0.1596675962209702</v>
      </c>
      <c r="C38" s="1">
        <v>176</v>
      </c>
      <c r="D38" s="1">
        <v>0</v>
      </c>
      <c r="E38" s="1">
        <v>176</v>
      </c>
      <c r="F38" s="1">
        <v>0</v>
      </c>
      <c r="G38" s="1">
        <v>0</v>
      </c>
      <c r="H38" s="1">
        <v>0</v>
      </c>
    </row>
    <row r="39" spans="1:8">
      <c r="A39" s="1" t="s">
        <v>13</v>
      </c>
      <c r="B39" s="2">
        <v>0.1351731419563294</v>
      </c>
      <c r="C39" s="1">
        <v>149</v>
      </c>
      <c r="D39" s="1">
        <v>17</v>
      </c>
      <c r="E39" s="1">
        <v>128</v>
      </c>
      <c r="F39" s="1">
        <v>5</v>
      </c>
      <c r="G39" s="1">
        <v>16</v>
      </c>
      <c r="H39" s="1">
        <v>1</v>
      </c>
    </row>
    <row r="40" spans="1:8">
      <c r="A40" s="1" t="s">
        <v>40</v>
      </c>
      <c r="B40" s="2">
        <v>0.1306371241807938</v>
      </c>
      <c r="C40" s="1">
        <v>144</v>
      </c>
      <c r="D40" s="1">
        <v>0</v>
      </c>
      <c r="E40" s="1">
        <v>144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0.1124930828809738</v>
      </c>
      <c r="C41" s="1">
        <v>124</v>
      </c>
      <c r="D41" s="1">
        <v>0</v>
      </c>
      <c r="E41" s="1">
        <v>124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0.1088642701506615</v>
      </c>
      <c r="C42" s="1">
        <v>120</v>
      </c>
      <c r="D42" s="1">
        <v>0</v>
      </c>
      <c r="E42" s="1">
        <v>120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0.1088642701506615</v>
      </c>
      <c r="C43" s="1">
        <v>120</v>
      </c>
      <c r="D43" s="1">
        <v>0</v>
      </c>
      <c r="E43" s="1">
        <v>120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0.0997922495007515</v>
      </c>
      <c r="C44" s="1">
        <v>110</v>
      </c>
      <c r="D44" s="1">
        <v>0</v>
      </c>
      <c r="E44" s="1">
        <v>110</v>
      </c>
      <c r="F44" s="1">
        <v>0</v>
      </c>
      <c r="G44" s="1">
        <v>0</v>
      </c>
      <c r="H44" s="1">
        <v>0</v>
      </c>
    </row>
    <row r="45" spans="1:8">
      <c r="A45" s="1" t="s">
        <v>16</v>
      </c>
      <c r="B45" s="2">
        <v>0.09797784686088562</v>
      </c>
      <c r="C45" s="1">
        <v>108</v>
      </c>
      <c r="D45" s="1">
        <v>4</v>
      </c>
      <c r="E45" s="1">
        <v>108</v>
      </c>
      <c r="F45" s="1">
        <v>0</v>
      </c>
      <c r="G45" s="1">
        <v>0</v>
      </c>
      <c r="H45" s="1">
        <v>4</v>
      </c>
    </row>
    <row r="46" spans="1:8">
      <c r="A46" s="1" t="s">
        <v>11</v>
      </c>
      <c r="B46" s="2">
        <v>0.09797784686088562</v>
      </c>
      <c r="C46" s="1">
        <v>108</v>
      </c>
      <c r="D46" s="1">
        <v>36</v>
      </c>
      <c r="E46" s="1">
        <v>108</v>
      </c>
      <c r="F46" s="1">
        <v>0</v>
      </c>
      <c r="G46" s="1">
        <v>0</v>
      </c>
      <c r="H46" s="1">
        <v>36</v>
      </c>
    </row>
    <row r="47" spans="1:8">
      <c r="A47" s="1" t="s">
        <v>45</v>
      </c>
      <c r="B47" s="2">
        <v>0.09072022885084152</v>
      </c>
      <c r="C47" s="1">
        <v>100</v>
      </c>
      <c r="D47" s="1">
        <v>0</v>
      </c>
      <c r="E47" s="1">
        <v>100</v>
      </c>
      <c r="F47" s="1">
        <v>0</v>
      </c>
      <c r="G47" s="1">
        <v>0</v>
      </c>
      <c r="H47" s="1">
        <v>0</v>
      </c>
    </row>
    <row r="48" spans="1:8">
      <c r="A48" s="1" t="s">
        <v>46</v>
      </c>
      <c r="B48" s="2">
        <v>0.09072022885084152</v>
      </c>
      <c r="C48" s="1">
        <v>100</v>
      </c>
      <c r="D48" s="1">
        <v>0</v>
      </c>
      <c r="E48" s="1">
        <v>100</v>
      </c>
      <c r="F48" s="1">
        <v>0</v>
      </c>
      <c r="G48" s="1">
        <v>0</v>
      </c>
      <c r="H48" s="1">
        <v>0</v>
      </c>
    </row>
    <row r="49" spans="1:8">
      <c r="A49" s="1" t="s">
        <v>47</v>
      </c>
      <c r="B49" s="2">
        <v>0.07983379811048508</v>
      </c>
      <c r="C49" s="1">
        <v>88</v>
      </c>
      <c r="D49" s="1">
        <v>0</v>
      </c>
      <c r="E49" s="1">
        <v>88</v>
      </c>
      <c r="F49" s="1">
        <v>0</v>
      </c>
      <c r="G49" s="1">
        <v>0</v>
      </c>
      <c r="H49" s="1">
        <v>0</v>
      </c>
    </row>
    <row r="50" spans="1:8">
      <c r="A50" s="1" t="s">
        <v>48</v>
      </c>
      <c r="B50" s="2">
        <v>0.0780193954706192</v>
      </c>
      <c r="C50" s="1">
        <v>86</v>
      </c>
      <c r="D50" s="1">
        <v>0</v>
      </c>
      <c r="E50" s="1">
        <v>86</v>
      </c>
      <c r="F50" s="1">
        <v>0</v>
      </c>
      <c r="G50" s="1">
        <v>0</v>
      </c>
      <c r="H50" s="1">
        <v>0</v>
      </c>
    </row>
    <row r="51" spans="1:8">
      <c r="A51" s="1" t="s">
        <v>49</v>
      </c>
      <c r="B51" s="2">
        <v>0.05806094408035278</v>
      </c>
      <c r="C51" s="1">
        <v>64</v>
      </c>
      <c r="D51" s="1">
        <v>0</v>
      </c>
      <c r="E51" s="1">
        <v>64</v>
      </c>
      <c r="F51" s="1">
        <v>0</v>
      </c>
      <c r="G51" s="1">
        <v>0</v>
      </c>
      <c r="H51" s="1">
        <v>0</v>
      </c>
    </row>
    <row r="52" spans="1:8">
      <c r="A52" s="1" t="s">
        <v>50</v>
      </c>
      <c r="B52" s="2">
        <v>0.05624654144048691</v>
      </c>
      <c r="C52" s="1">
        <v>62</v>
      </c>
      <c r="D52" s="1">
        <v>0</v>
      </c>
      <c r="E52" s="1">
        <v>62</v>
      </c>
      <c r="F52" s="1">
        <v>0</v>
      </c>
      <c r="G52" s="1">
        <v>0</v>
      </c>
      <c r="H52" s="1">
        <v>0</v>
      </c>
    </row>
    <row r="53" spans="1:8">
      <c r="A53" s="1" t="s">
        <v>51</v>
      </c>
      <c r="B53" s="2">
        <v>0.05443213507533073</v>
      </c>
      <c r="C53" s="1">
        <v>60</v>
      </c>
      <c r="D53" s="1">
        <v>0</v>
      </c>
      <c r="E53" s="1">
        <v>60</v>
      </c>
      <c r="F53" s="1">
        <v>0</v>
      </c>
      <c r="G53" s="1">
        <v>0</v>
      </c>
      <c r="H53" s="1">
        <v>0</v>
      </c>
    </row>
    <row r="54" spans="1:8">
      <c r="A54" s="1" t="s">
        <v>52</v>
      </c>
      <c r="B54" s="2">
        <v>0.05080332607030869</v>
      </c>
      <c r="C54" s="1">
        <v>56</v>
      </c>
      <c r="D54" s="1">
        <v>0</v>
      </c>
      <c r="E54" s="1">
        <v>56</v>
      </c>
      <c r="F54" s="1">
        <v>0</v>
      </c>
      <c r="G54" s="1">
        <v>0</v>
      </c>
      <c r="H54" s="1">
        <v>0</v>
      </c>
    </row>
    <row r="55" spans="1:8">
      <c r="A55" s="1" t="s">
        <v>53</v>
      </c>
      <c r="B55" s="2">
        <v>0.04536011442542076</v>
      </c>
      <c r="C55" s="1">
        <v>50</v>
      </c>
      <c r="D55" s="1">
        <v>0</v>
      </c>
      <c r="E55" s="1">
        <v>50</v>
      </c>
      <c r="F55" s="1">
        <v>0</v>
      </c>
      <c r="G55" s="1">
        <v>0</v>
      </c>
      <c r="H55" s="1">
        <v>0</v>
      </c>
    </row>
    <row r="56" spans="1:8">
      <c r="A56" s="1" t="s">
        <v>54</v>
      </c>
      <c r="B56" s="2">
        <v>0.04536011442542076</v>
      </c>
      <c r="C56" s="1">
        <v>50</v>
      </c>
      <c r="D56" s="1">
        <v>0</v>
      </c>
      <c r="E56" s="1">
        <v>50</v>
      </c>
      <c r="F56" s="1">
        <v>0</v>
      </c>
      <c r="G56" s="1">
        <v>0</v>
      </c>
      <c r="H56" s="1">
        <v>0</v>
      </c>
    </row>
    <row r="57" spans="1:8">
      <c r="A57" s="1" t="s">
        <v>55</v>
      </c>
      <c r="B57" s="2">
        <v>0.04354570806026459</v>
      </c>
      <c r="C57" s="1">
        <v>48</v>
      </c>
      <c r="D57" s="1">
        <v>0</v>
      </c>
      <c r="E57" s="1">
        <v>48</v>
      </c>
      <c r="F57" s="1">
        <v>0</v>
      </c>
      <c r="G57" s="1">
        <v>0</v>
      </c>
      <c r="H57" s="1">
        <v>0</v>
      </c>
    </row>
    <row r="58" spans="1:8">
      <c r="A58" s="1" t="s">
        <v>56</v>
      </c>
      <c r="B58" s="2">
        <v>0.04354570806026459</v>
      </c>
      <c r="C58" s="1">
        <v>48</v>
      </c>
      <c r="D58" s="1">
        <v>0</v>
      </c>
      <c r="E58" s="1">
        <v>48</v>
      </c>
      <c r="F58" s="1">
        <v>0</v>
      </c>
      <c r="G58" s="1">
        <v>0</v>
      </c>
      <c r="H58" s="1">
        <v>0</v>
      </c>
    </row>
    <row r="59" spans="1:8">
      <c r="A59" s="1" t="s">
        <v>57</v>
      </c>
      <c r="B59" s="2">
        <v>0.03628809005022049</v>
      </c>
      <c r="C59" s="1">
        <v>40</v>
      </c>
      <c r="D59" s="1">
        <v>0</v>
      </c>
      <c r="E59" s="1">
        <v>40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0.03628809005022049</v>
      </c>
      <c r="C60" s="1">
        <v>40</v>
      </c>
      <c r="D60" s="1">
        <v>0</v>
      </c>
      <c r="E60" s="1">
        <v>40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0.03447368741035461</v>
      </c>
      <c r="C61" s="1">
        <v>38</v>
      </c>
      <c r="D61" s="1">
        <v>0</v>
      </c>
      <c r="E61" s="1">
        <v>38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0.03265928104519844</v>
      </c>
      <c r="C62" s="1">
        <v>36</v>
      </c>
      <c r="D62" s="1">
        <v>0</v>
      </c>
      <c r="E62" s="1">
        <v>36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0.03265928104519844</v>
      </c>
      <c r="C63" s="1">
        <v>36</v>
      </c>
      <c r="D63" s="1">
        <v>0</v>
      </c>
      <c r="E63" s="1">
        <v>36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0.02903047204017639</v>
      </c>
      <c r="C64" s="1">
        <v>32</v>
      </c>
      <c r="D64" s="1">
        <v>0</v>
      </c>
      <c r="E64" s="1">
        <v>32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0.02721606753766537</v>
      </c>
      <c r="C65" s="1">
        <v>30</v>
      </c>
      <c r="D65" s="1">
        <v>0</v>
      </c>
      <c r="E65" s="1">
        <v>30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0.02721606753766537</v>
      </c>
      <c r="C66" s="1">
        <v>30</v>
      </c>
      <c r="D66" s="1">
        <v>0</v>
      </c>
      <c r="E66" s="1">
        <v>30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0.02540166303515434</v>
      </c>
      <c r="C67" s="1">
        <v>28</v>
      </c>
      <c r="D67" s="1">
        <v>0</v>
      </c>
      <c r="E67" s="1">
        <v>28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0.02540166303515434</v>
      </c>
      <c r="C68" s="1">
        <v>28</v>
      </c>
      <c r="D68" s="1">
        <v>0</v>
      </c>
      <c r="E68" s="1">
        <v>28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0.02540166303515434</v>
      </c>
      <c r="C69" s="1">
        <v>28</v>
      </c>
      <c r="D69" s="1">
        <v>0</v>
      </c>
      <c r="E69" s="1">
        <v>28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0.02540166303515434</v>
      </c>
      <c r="C70" s="1">
        <v>28</v>
      </c>
      <c r="D70" s="1">
        <v>0</v>
      </c>
      <c r="E70" s="1">
        <v>28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0.02540166303515434</v>
      </c>
      <c r="C71" s="1">
        <v>28</v>
      </c>
      <c r="D71" s="1">
        <v>0</v>
      </c>
      <c r="E71" s="1">
        <v>28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0.02540166303515434</v>
      </c>
      <c r="C72" s="1">
        <v>28</v>
      </c>
      <c r="D72" s="1">
        <v>0</v>
      </c>
      <c r="E72" s="1">
        <v>28</v>
      </c>
      <c r="F72" s="1">
        <v>0</v>
      </c>
      <c r="G72" s="1">
        <v>0</v>
      </c>
      <c r="H72" s="1">
        <v>0</v>
      </c>
    </row>
    <row r="73" spans="1:8">
      <c r="A73" s="1" t="s">
        <v>71</v>
      </c>
      <c r="B73" s="2">
        <v>0.02358725853264332</v>
      </c>
      <c r="C73" s="1">
        <v>26</v>
      </c>
      <c r="D73" s="1">
        <v>0</v>
      </c>
      <c r="E73" s="1">
        <v>26</v>
      </c>
      <c r="F73" s="1">
        <v>0</v>
      </c>
      <c r="G73" s="1">
        <v>0</v>
      </c>
      <c r="H73" s="1">
        <v>0</v>
      </c>
    </row>
    <row r="74" spans="1:8">
      <c r="A74" s="1" t="s">
        <v>72</v>
      </c>
      <c r="B74" s="2">
        <v>0.01632964052259922</v>
      </c>
      <c r="C74" s="1">
        <v>18</v>
      </c>
      <c r="D74" s="1">
        <v>0</v>
      </c>
      <c r="E74" s="1">
        <v>18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0.01088642701506615</v>
      </c>
      <c r="C75" s="1">
        <v>12</v>
      </c>
      <c r="D75" s="1">
        <v>0</v>
      </c>
      <c r="E75" s="1">
        <v>12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0.01088642701506615</v>
      </c>
      <c r="C76" s="1">
        <v>12</v>
      </c>
      <c r="D76" s="1">
        <v>0</v>
      </c>
      <c r="E76" s="1">
        <v>12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0.009072022512555122</v>
      </c>
      <c r="C77" s="1">
        <v>10</v>
      </c>
      <c r="D77" s="1">
        <v>0</v>
      </c>
      <c r="E77" s="1">
        <v>10</v>
      </c>
      <c r="F77" s="1">
        <v>0</v>
      </c>
      <c r="G77" s="1">
        <v>0</v>
      </c>
      <c r="H77" s="1">
        <v>0</v>
      </c>
    </row>
    <row r="78" spans="1:8">
      <c r="A78" s="1" t="s">
        <v>76</v>
      </c>
      <c r="B78" s="2">
        <v>0.007257618010044098</v>
      </c>
      <c r="C78" s="1">
        <v>8</v>
      </c>
      <c r="D78" s="1">
        <v>0</v>
      </c>
      <c r="E78" s="1">
        <v>8</v>
      </c>
      <c r="F78" s="1">
        <v>0</v>
      </c>
      <c r="G78" s="1">
        <v>0</v>
      </c>
      <c r="H78" s="1">
        <v>0</v>
      </c>
    </row>
    <row r="79" spans="1:8">
      <c r="A79" s="1" t="s">
        <v>77</v>
      </c>
      <c r="B79" s="2">
        <v>0.007257618010044098</v>
      </c>
      <c r="C79" s="1">
        <v>8</v>
      </c>
      <c r="D79" s="1">
        <v>0</v>
      </c>
      <c r="E79" s="1">
        <v>8</v>
      </c>
      <c r="F79" s="1">
        <v>0</v>
      </c>
      <c r="G79" s="1">
        <v>0</v>
      </c>
      <c r="H79" s="1">
        <v>0</v>
      </c>
    </row>
    <row r="80" spans="1:8">
      <c r="A80" s="1" t="s">
        <v>78</v>
      </c>
      <c r="B80" s="2">
        <v>0.003628809005022049</v>
      </c>
      <c r="C80" s="1">
        <v>4</v>
      </c>
      <c r="D80" s="1">
        <v>0</v>
      </c>
      <c r="E80" s="1">
        <v>4</v>
      </c>
      <c r="F80" s="1">
        <v>0</v>
      </c>
      <c r="G80" s="1">
        <v>0</v>
      </c>
      <c r="H80" s="1">
        <v>0</v>
      </c>
    </row>
    <row r="81" spans="1:8">
      <c r="A81" t="s">
        <v>80</v>
      </c>
      <c r="B81">
        <f>SUBTOTAL(109,[flash_percent])</f>
        <v>0</v>
      </c>
      <c r="C81">
        <f>SUBTOTAL(109,[flash])</f>
        <v>0</v>
      </c>
      <c r="D81">
        <f>SUBTOTAL(109,[ram])</f>
        <v>0</v>
      </c>
      <c r="E81">
        <f>SUBTOTAL(109,[Code])</f>
        <v>0</v>
      </c>
      <c r="F81">
        <f>SUBTOTAL(109,[RO_data])</f>
        <v>0</v>
      </c>
      <c r="G81">
        <f>SUBTOTAL(109,[RW_data])</f>
        <v>0</v>
      </c>
      <c r="H8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2026-05-13T06:12:35Z</dcterms:created>
  <dcterms:modified xsi:type="dcterms:W3CDTF">2026-05-13T06:12:35Z</dcterms:modified>
</cp:coreProperties>
</file>