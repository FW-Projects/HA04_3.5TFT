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m_percent" sheetId="1" r:id="rId1"/>
    <sheet name="flash_percent" sheetId="2" r:id="rId2"/>
  </sheets>
  <calcPr calcId="124519" fullCalcOnLoad="1"/>
</workbook>
</file>

<file path=xl/sharedStrings.xml><?xml version="1.0" encoding="utf-8"?>
<sst xmlns="http://schemas.openxmlformats.org/spreadsheetml/2006/main" count="58" uniqueCount="47">
  <si>
    <t>AT32F415RBT7_WorkBench</t>
  </si>
  <si>
    <t>lto-llvm-549529.o</t>
  </si>
  <si>
    <t>startup_at32f415.o</t>
  </si>
  <si>
    <t>mf_w.l</t>
  </si>
  <si>
    <t>dadd.o</t>
  </si>
  <si>
    <t>mc_w.l</t>
  </si>
  <si>
    <t>dmul.o</t>
  </si>
  <si>
    <t>ddiv.o</t>
  </si>
  <si>
    <t>depilogue.o</t>
  </si>
  <si>
    <t>fadd.o</t>
  </si>
  <si>
    <t>fdiv.o</t>
  </si>
  <si>
    <t>fepilogue.o</t>
  </si>
  <si>
    <t>fmul.o</t>
  </si>
  <si>
    <t>dfixi.o</t>
  </si>
  <si>
    <t>d2f.o</t>
  </si>
  <si>
    <t>dcmpgt.o</t>
  </si>
  <si>
    <t>ffixi.o</t>
  </si>
  <si>
    <t>dfixui.o</t>
  </si>
  <si>
    <t>init.o</t>
  </si>
  <si>
    <t>ffixui.o</t>
  </si>
  <si>
    <t>f2d.o</t>
  </si>
  <si>
    <t>memseta.o</t>
  </si>
  <si>
    <t>llsshr.o</t>
  </si>
  <si>
    <t>llushr.o</t>
  </si>
  <si>
    <t>llshl.o</t>
  </si>
  <si>
    <t>handlers.o</t>
  </si>
  <si>
    <t>fcmplt.o</t>
  </si>
  <si>
    <t>fcmple.o</t>
  </si>
  <si>
    <t>fcmpgt.o</t>
  </si>
  <si>
    <t>fcmpge.o</t>
  </si>
  <si>
    <t>fcmpeq.o</t>
  </si>
  <si>
    <t>dfltui.o</t>
  </si>
  <si>
    <t>fflti.o</t>
  </si>
  <si>
    <t>ffltui.o</t>
  </si>
  <si>
    <t>entry9a.o</t>
  </si>
  <si>
    <t>entry2.o</t>
  </si>
  <si>
    <t>entry5.o</t>
  </si>
  <si>
    <t>File_name</t>
  </si>
  <si>
    <t>Totals</t>
  </si>
  <si>
    <t>ram_percent</t>
  </si>
  <si>
    <t>ram</t>
  </si>
  <si>
    <t>flash</t>
  </si>
  <si>
    <t>Code</t>
  </si>
  <si>
    <t>RO_data</t>
  </si>
  <si>
    <t>RW_data</t>
  </si>
  <si>
    <t>ZI_data</t>
  </si>
  <si>
    <t>flash_percent</t>
  </si>
</sst>
</file>

<file path=xl/styles.xml><?xml version="1.0" encoding="utf-8"?>
<styleSheet xmlns="http://schemas.openxmlformats.org/spreadsheetml/2006/main">
  <numFmts count="1">
    <numFmt numFmtId="164" formatCode="00.00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ram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piechart_ram</c:v>
          </c:tx>
          <c:cat>
            <c:strRef>
              <c:f>ram_percent!$A$3:$A$39</c:f>
              <c:strCache>
                <c:ptCount val="37"/>
                <c:pt idx="0">
                  <c:v>lto-llvm-549529.o</c:v>
                </c:pt>
                <c:pt idx="1">
                  <c:v>startup_at32f415.o</c:v>
                </c:pt>
                <c:pt idx="36">
                  <c:v>Totals</c:v>
                </c:pt>
              </c:strCache>
            </c:strRef>
          </c:cat>
          <c:val>
            <c:numRef>
              <c:f>ram_percent!$B$3:$B$39</c:f>
              <c:numCache>
                <c:formatCode>General</c:formatCode>
                <c:ptCount val="37"/>
                <c:pt idx="0">
                  <c:v>72.02950286865234</c:v>
                </c:pt>
                <c:pt idx="1">
                  <c:v>27.97049903869629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file percent in used flash 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piechart_flash</c:v>
          </c:tx>
          <c:cat>
            <c:strRef>
              <c:f>flash_percent!$A$3:$A$39</c:f>
              <c:strCache>
                <c:ptCount val="37"/>
                <c:pt idx="0">
                  <c:v>lto-llvm-549529.o</c:v>
                </c:pt>
                <c:pt idx="1">
                  <c:v>mf_w.l</c:v>
                </c:pt>
                <c:pt idx="2">
                  <c:v>startup_at32f415.o</c:v>
                </c:pt>
                <c:pt idx="3">
                  <c:v>dadd.o</c:v>
                </c:pt>
                <c:pt idx="4">
                  <c:v>mc_w.l</c:v>
                </c:pt>
                <c:pt idx="5">
                  <c:v>dmul.o</c:v>
                </c:pt>
                <c:pt idx="6">
                  <c:v>ddiv.o</c:v>
                </c:pt>
                <c:pt idx="7">
                  <c:v>depilogue.o</c:v>
                </c:pt>
                <c:pt idx="8">
                  <c:v>fadd.o</c:v>
                </c:pt>
                <c:pt idx="9">
                  <c:v>fdiv.o</c:v>
                </c:pt>
                <c:pt idx="10">
                  <c:v>fepilogue.o</c:v>
                </c:pt>
                <c:pt idx="11">
                  <c:v>fmul.o</c:v>
                </c:pt>
                <c:pt idx="12">
                  <c:v>dfixi.o</c:v>
                </c:pt>
                <c:pt idx="13">
                  <c:v>d2f.o</c:v>
                </c:pt>
                <c:pt idx="14">
                  <c:v>dcmpgt.o</c:v>
                </c:pt>
                <c:pt idx="15">
                  <c:v>ffixi.o</c:v>
                </c:pt>
                <c:pt idx="16">
                  <c:v>dfixui.o</c:v>
                </c:pt>
                <c:pt idx="17">
                  <c:v>init.o</c:v>
                </c:pt>
                <c:pt idx="18">
                  <c:v>ffixui.o</c:v>
                </c:pt>
                <c:pt idx="19">
                  <c:v>f2d.o</c:v>
                </c:pt>
                <c:pt idx="20">
                  <c:v>memseta.o</c:v>
                </c:pt>
                <c:pt idx="21">
                  <c:v>llsshr.o</c:v>
                </c:pt>
                <c:pt idx="22">
                  <c:v>llushr.o</c:v>
                </c:pt>
                <c:pt idx="23">
                  <c:v>llshl.o</c:v>
                </c:pt>
                <c:pt idx="24">
                  <c:v>handlers.o</c:v>
                </c:pt>
                <c:pt idx="25">
                  <c:v>fcmplt.o</c:v>
                </c:pt>
                <c:pt idx="26">
                  <c:v>fcmple.o</c:v>
                </c:pt>
                <c:pt idx="27">
                  <c:v>fcmpgt.o</c:v>
                </c:pt>
                <c:pt idx="28">
                  <c:v>fcmpge.o</c:v>
                </c:pt>
                <c:pt idx="29">
                  <c:v>fcmpeq.o</c:v>
                </c:pt>
                <c:pt idx="30">
                  <c:v>dfltui.o</c:v>
                </c:pt>
                <c:pt idx="31">
                  <c:v>fflti.o</c:v>
                </c:pt>
                <c:pt idx="32">
                  <c:v>ffltui.o</c:v>
                </c:pt>
                <c:pt idx="33">
                  <c:v>entry9a.o</c:v>
                </c:pt>
                <c:pt idx="34">
                  <c:v>entry2.o</c:v>
                </c:pt>
                <c:pt idx="35">
                  <c:v>entry5.o</c:v>
                </c:pt>
                <c:pt idx="36">
                  <c:v>Totals</c:v>
                </c:pt>
              </c:strCache>
            </c:strRef>
          </c:cat>
          <c:val>
            <c:numRef>
              <c:f>flash_percent!$B$3:$B$39</c:f>
              <c:numCache>
                <c:formatCode>General</c:formatCode>
                <c:ptCount val="37"/>
                <c:pt idx="0">
                  <c:v>95.46620178222656</c:v>
                </c:pt>
                <c:pt idx="1">
                  <c:v>1.866642117500305</c:v>
                </c:pt>
                <c:pt idx="2">
                  <c:v>0.3725906014442444</c:v>
                </c:pt>
                <c:pt idx="3">
                  <c:v>0.3080328404903412</c:v>
                </c:pt>
                <c:pt idx="4">
                  <c:v>0.2139629274606705</c:v>
                </c:pt>
                <c:pt idx="5">
                  <c:v>0.2102739065885544</c:v>
                </c:pt>
                <c:pt idx="6">
                  <c:v>0.2047403901815414</c:v>
                </c:pt>
                <c:pt idx="7">
                  <c:v>0.1715392470359802</c:v>
                </c:pt>
                <c:pt idx="8">
                  <c:v>0.16231669485569</c:v>
                </c:pt>
                <c:pt idx="9">
                  <c:v>0.1143594980239868</c:v>
                </c:pt>
                <c:pt idx="10">
                  <c:v>0.1014479398727417</c:v>
                </c:pt>
                <c:pt idx="11">
                  <c:v>0.09222540259361267</c:v>
                </c:pt>
                <c:pt idx="12">
                  <c:v>0.05717974901199341</c:v>
                </c:pt>
                <c:pt idx="13">
                  <c:v>0.05164622515439987</c:v>
                </c:pt>
                <c:pt idx="14">
                  <c:v>0.04980171471834183</c:v>
                </c:pt>
                <c:pt idx="15">
                  <c:v>0.04611270129680634</c:v>
                </c:pt>
                <c:pt idx="16">
                  <c:v>0.04611270129680634</c:v>
                </c:pt>
                <c:pt idx="17">
                  <c:v>0.04426819086074829</c:v>
                </c:pt>
                <c:pt idx="18">
                  <c:v>0.03689016029238701</c:v>
                </c:pt>
                <c:pt idx="19">
                  <c:v>0.03504564985632896</c:v>
                </c:pt>
                <c:pt idx="20">
                  <c:v>0.03320114314556122</c:v>
                </c:pt>
                <c:pt idx="21">
                  <c:v>0.03320114314556122</c:v>
                </c:pt>
                <c:pt idx="22">
                  <c:v>0.02951212786138058</c:v>
                </c:pt>
                <c:pt idx="23">
                  <c:v>0.02766761928796768</c:v>
                </c:pt>
                <c:pt idx="24">
                  <c:v>0.02766761928796768</c:v>
                </c:pt>
                <c:pt idx="25">
                  <c:v>0.02582311257719994</c:v>
                </c:pt>
                <c:pt idx="26">
                  <c:v>0.02582311257719994</c:v>
                </c:pt>
                <c:pt idx="27">
                  <c:v>0.02582311257719994</c:v>
                </c:pt>
                <c:pt idx="28">
                  <c:v>0.02582311257719994</c:v>
                </c:pt>
                <c:pt idx="29">
                  <c:v>0.02582311257719994</c:v>
                </c:pt>
                <c:pt idx="30">
                  <c:v>0.02397860400378704</c:v>
                </c:pt>
                <c:pt idx="31">
                  <c:v>0.01660057157278061</c:v>
                </c:pt>
                <c:pt idx="32">
                  <c:v>0.009222540073096752</c:v>
                </c:pt>
                <c:pt idx="33">
                  <c:v>0.007378031965345144</c:v>
                </c:pt>
                <c:pt idx="34">
                  <c:v>0.007378031965345144</c:v>
                </c:pt>
                <c:pt idx="35">
                  <c:v>0.003689015982672572</c:v>
                </c:pt>
                <c:pt idx="36">
                  <c:v>0</c:v>
                </c:pt>
              </c:numCache>
            </c:numRef>
          </c:val>
        </c:ser>
        <c:firstSliceAng val="9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</xdr:row>
      <xdr:rowOff>0</xdr:rowOff>
    </xdr:from>
    <xdr:to>
      <xdr:col>15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able1" displayName="Table1" ref="A2:H39" totalsRowCount="1">
  <autoFilter ref="A2:H38"/>
  <tableColumns count="8">
    <tableColumn id="1" name="File_name" totalsRowLabel="Totals"/>
    <tableColumn id="2" name="ram_percent" totalsRowFunction="sum"/>
    <tableColumn id="3" name="ram" totalsRowFunction="sum"/>
    <tableColumn id="4" name="flash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2:H39" totalsRowCount="1">
  <autoFilter ref="A2:H38"/>
  <tableColumns count="8">
    <tableColumn id="1" name="File_name" totalsRowLabel="Totals"/>
    <tableColumn id="2" name="flash_percent" totalsRowFunction="sum"/>
    <tableColumn id="3" name="flash" totalsRowFunction="sum"/>
    <tableColumn id="4" name="ram" totalsRowFunction="sum"/>
    <tableColumn id="5" name="Code" totalsRowFunction="sum"/>
    <tableColumn id="6" name="RO_data" totalsRowFunction="sum"/>
    <tableColumn id="7" name="RW_data" totalsRowFunction="sum"/>
    <tableColumn id="8" name="ZI_data" totalsRowFunction="sum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9"/>
  <sheetViews>
    <sheetView tabSelected="1"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39</v>
      </c>
      <c r="C2" t="s">
        <v>40</v>
      </c>
      <c r="D2" t="s">
        <v>41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72.02950286865234</v>
      </c>
      <c r="C3" s="1">
        <v>2637</v>
      </c>
      <c r="D3" s="1">
        <v>103514</v>
      </c>
      <c r="E3" s="1">
        <v>26528</v>
      </c>
      <c r="F3" s="1">
        <v>76726</v>
      </c>
      <c r="G3" s="1">
        <v>260</v>
      </c>
      <c r="H3" s="1">
        <v>2377</v>
      </c>
    </row>
    <row r="4" spans="1:8">
      <c r="A4" s="1" t="s">
        <v>2</v>
      </c>
      <c r="B4" s="2">
        <v>27.97049903869629</v>
      </c>
      <c r="C4" s="1">
        <v>1024</v>
      </c>
      <c r="D4" s="1">
        <v>404</v>
      </c>
      <c r="E4" s="1">
        <v>36</v>
      </c>
      <c r="F4" s="1">
        <v>368</v>
      </c>
      <c r="G4" s="1">
        <v>0</v>
      </c>
      <c r="H4" s="1">
        <v>1024</v>
      </c>
    </row>
    <row r="39" spans="1:8">
      <c r="A39" t="s">
        <v>38</v>
      </c>
      <c r="B39">
        <f>SUBTOTAL(109,[ram_percent])</f>
        <v>0</v>
      </c>
      <c r="C39">
        <f>SUBTOTAL(109,[ram])</f>
        <v>0</v>
      </c>
      <c r="D39">
        <f>SUBTOTAL(109,[flash])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39"/>
  <sheetViews>
    <sheetView workbookViewId="0"/>
  </sheetViews>
  <sheetFormatPr defaultRowHeight="15"/>
  <cols>
    <col min="1" max="8" width="16.7109375" customWidth="1"/>
  </cols>
  <sheetData>
    <row r="1" spans="1:8">
      <c r="A1" t="s">
        <v>0</v>
      </c>
    </row>
    <row r="2" spans="1:8">
      <c r="A2" t="s">
        <v>37</v>
      </c>
      <c r="B2" t="s">
        <v>46</v>
      </c>
      <c r="C2" t="s">
        <v>41</v>
      </c>
      <c r="D2" t="s">
        <v>40</v>
      </c>
      <c r="E2" t="s">
        <v>42</v>
      </c>
      <c r="F2" t="s">
        <v>43</v>
      </c>
      <c r="G2" t="s">
        <v>44</v>
      </c>
      <c r="H2" t="s">
        <v>45</v>
      </c>
    </row>
    <row r="3" spans="1:8">
      <c r="A3" s="1" t="s">
        <v>1</v>
      </c>
      <c r="B3" s="2">
        <v>95.46620178222656</v>
      </c>
      <c r="C3" s="1">
        <v>103514</v>
      </c>
      <c r="D3" s="1">
        <v>2637</v>
      </c>
      <c r="E3" s="1">
        <v>26528</v>
      </c>
      <c r="F3" s="1">
        <v>76726</v>
      </c>
      <c r="G3" s="1">
        <v>260</v>
      </c>
      <c r="H3" s="1">
        <v>2377</v>
      </c>
    </row>
    <row r="4" spans="1:8">
      <c r="A4" s="1" t="s">
        <v>3</v>
      </c>
      <c r="B4" s="2">
        <v>1.866642117500305</v>
      </c>
      <c r="C4" s="1">
        <v>2024</v>
      </c>
      <c r="D4" s="1">
        <v>0</v>
      </c>
      <c r="E4" s="1">
        <v>2024</v>
      </c>
      <c r="F4" s="1">
        <v>0</v>
      </c>
      <c r="G4" s="1">
        <v>0</v>
      </c>
      <c r="H4" s="1">
        <v>0</v>
      </c>
    </row>
    <row r="5" spans="1:8">
      <c r="A5" s="1" t="s">
        <v>2</v>
      </c>
      <c r="B5" s="2">
        <v>0.3725906014442444</v>
      </c>
      <c r="C5" s="1">
        <v>404</v>
      </c>
      <c r="D5" s="1">
        <v>1024</v>
      </c>
      <c r="E5" s="1">
        <v>36</v>
      </c>
      <c r="F5" s="1">
        <v>368</v>
      </c>
      <c r="G5" s="1">
        <v>0</v>
      </c>
      <c r="H5" s="1">
        <v>1024</v>
      </c>
    </row>
    <row r="6" spans="1:8">
      <c r="A6" s="1" t="s">
        <v>4</v>
      </c>
      <c r="B6" s="2">
        <v>0.3080328404903412</v>
      </c>
      <c r="C6" s="1">
        <v>334</v>
      </c>
      <c r="D6" s="1">
        <v>0</v>
      </c>
      <c r="E6" s="1">
        <v>334</v>
      </c>
      <c r="F6" s="1">
        <v>0</v>
      </c>
      <c r="G6" s="1">
        <v>0</v>
      </c>
      <c r="H6" s="1">
        <v>0</v>
      </c>
    </row>
    <row r="7" spans="1:8">
      <c r="A7" s="1" t="s">
        <v>5</v>
      </c>
      <c r="B7" s="2">
        <v>0.2139629274606705</v>
      </c>
      <c r="C7" s="1">
        <v>232</v>
      </c>
      <c r="D7" s="1">
        <v>0</v>
      </c>
      <c r="E7" s="1">
        <v>232</v>
      </c>
      <c r="F7" s="1">
        <v>0</v>
      </c>
      <c r="G7" s="1">
        <v>0</v>
      </c>
      <c r="H7" s="1">
        <v>0</v>
      </c>
    </row>
    <row r="8" spans="1:8">
      <c r="A8" s="1" t="s">
        <v>6</v>
      </c>
      <c r="B8" s="2">
        <v>0.2102739065885544</v>
      </c>
      <c r="C8" s="1">
        <v>228</v>
      </c>
      <c r="D8" s="1">
        <v>0</v>
      </c>
      <c r="E8" s="1">
        <v>228</v>
      </c>
      <c r="F8" s="1">
        <v>0</v>
      </c>
      <c r="G8" s="1">
        <v>0</v>
      </c>
      <c r="H8" s="1">
        <v>0</v>
      </c>
    </row>
    <row r="9" spans="1:8">
      <c r="A9" s="1" t="s">
        <v>7</v>
      </c>
      <c r="B9" s="2">
        <v>0.2047403901815414</v>
      </c>
      <c r="C9" s="1">
        <v>222</v>
      </c>
      <c r="D9" s="1">
        <v>0</v>
      </c>
      <c r="E9" s="1">
        <v>222</v>
      </c>
      <c r="F9" s="1">
        <v>0</v>
      </c>
      <c r="G9" s="1">
        <v>0</v>
      </c>
      <c r="H9" s="1">
        <v>0</v>
      </c>
    </row>
    <row r="10" spans="1:8">
      <c r="A10" s="1" t="s">
        <v>8</v>
      </c>
      <c r="B10" s="2">
        <v>0.1715392470359802</v>
      </c>
      <c r="C10" s="1">
        <v>186</v>
      </c>
      <c r="D10" s="1">
        <v>0</v>
      </c>
      <c r="E10" s="1">
        <v>186</v>
      </c>
      <c r="F10" s="1">
        <v>0</v>
      </c>
      <c r="G10" s="1">
        <v>0</v>
      </c>
      <c r="H10" s="1">
        <v>0</v>
      </c>
    </row>
    <row r="11" spans="1:8">
      <c r="A11" s="1" t="s">
        <v>9</v>
      </c>
      <c r="B11" s="2">
        <v>0.16231669485569</v>
      </c>
      <c r="C11" s="1">
        <v>176</v>
      </c>
      <c r="D11" s="1">
        <v>0</v>
      </c>
      <c r="E11" s="1">
        <v>176</v>
      </c>
      <c r="F11" s="1">
        <v>0</v>
      </c>
      <c r="G11" s="1">
        <v>0</v>
      </c>
      <c r="H11" s="1">
        <v>0</v>
      </c>
    </row>
    <row r="12" spans="1:8">
      <c r="A12" s="1" t="s">
        <v>10</v>
      </c>
      <c r="B12" s="2">
        <v>0.1143594980239868</v>
      </c>
      <c r="C12" s="1">
        <v>124</v>
      </c>
      <c r="D12" s="1">
        <v>0</v>
      </c>
      <c r="E12" s="1">
        <v>124</v>
      </c>
      <c r="F12" s="1">
        <v>0</v>
      </c>
      <c r="G12" s="1">
        <v>0</v>
      </c>
      <c r="H12" s="1">
        <v>0</v>
      </c>
    </row>
    <row r="13" spans="1:8">
      <c r="A13" s="1" t="s">
        <v>11</v>
      </c>
      <c r="B13" s="2">
        <v>0.1014479398727417</v>
      </c>
      <c r="C13" s="1">
        <v>110</v>
      </c>
      <c r="D13" s="1">
        <v>0</v>
      </c>
      <c r="E13" s="1">
        <v>110</v>
      </c>
      <c r="F13" s="1">
        <v>0</v>
      </c>
      <c r="G13" s="1">
        <v>0</v>
      </c>
      <c r="H13" s="1">
        <v>0</v>
      </c>
    </row>
    <row r="14" spans="1:8">
      <c r="A14" s="1" t="s">
        <v>12</v>
      </c>
      <c r="B14" s="2">
        <v>0.09222540259361267</v>
      </c>
      <c r="C14" s="1">
        <v>100</v>
      </c>
      <c r="D14" s="1">
        <v>0</v>
      </c>
      <c r="E14" s="1">
        <v>100</v>
      </c>
      <c r="F14" s="1">
        <v>0</v>
      </c>
      <c r="G14" s="1">
        <v>0</v>
      </c>
      <c r="H14" s="1">
        <v>0</v>
      </c>
    </row>
    <row r="15" spans="1:8">
      <c r="A15" s="1" t="s">
        <v>13</v>
      </c>
      <c r="B15" s="2">
        <v>0.05717974901199341</v>
      </c>
      <c r="C15" s="1">
        <v>62</v>
      </c>
      <c r="D15" s="1">
        <v>0</v>
      </c>
      <c r="E15" s="1">
        <v>62</v>
      </c>
      <c r="F15" s="1">
        <v>0</v>
      </c>
      <c r="G15" s="1">
        <v>0</v>
      </c>
      <c r="H15" s="1">
        <v>0</v>
      </c>
    </row>
    <row r="16" spans="1:8">
      <c r="A16" s="1" t="s">
        <v>14</v>
      </c>
      <c r="B16" s="2">
        <v>0.05164622515439987</v>
      </c>
      <c r="C16" s="1">
        <v>56</v>
      </c>
      <c r="D16" s="1">
        <v>0</v>
      </c>
      <c r="E16" s="1">
        <v>56</v>
      </c>
      <c r="F16" s="1">
        <v>0</v>
      </c>
      <c r="G16" s="1">
        <v>0</v>
      </c>
      <c r="H16" s="1">
        <v>0</v>
      </c>
    </row>
    <row r="17" spans="1:8">
      <c r="A17" s="1" t="s">
        <v>15</v>
      </c>
      <c r="B17" s="2">
        <v>0.04980171471834183</v>
      </c>
      <c r="C17" s="1">
        <v>54</v>
      </c>
      <c r="D17" s="1">
        <v>0</v>
      </c>
      <c r="E17" s="1">
        <v>54</v>
      </c>
      <c r="F17" s="1">
        <v>0</v>
      </c>
      <c r="G17" s="1">
        <v>0</v>
      </c>
      <c r="H17" s="1">
        <v>0</v>
      </c>
    </row>
    <row r="18" spans="1:8">
      <c r="A18" s="1" t="s">
        <v>16</v>
      </c>
      <c r="B18" s="2">
        <v>0.04611270129680634</v>
      </c>
      <c r="C18" s="1">
        <v>50</v>
      </c>
      <c r="D18" s="1">
        <v>0</v>
      </c>
      <c r="E18" s="1">
        <v>50</v>
      </c>
      <c r="F18" s="1">
        <v>0</v>
      </c>
      <c r="G18" s="1">
        <v>0</v>
      </c>
      <c r="H18" s="1">
        <v>0</v>
      </c>
    </row>
    <row r="19" spans="1:8">
      <c r="A19" s="1" t="s">
        <v>17</v>
      </c>
      <c r="B19" s="2">
        <v>0.04611270129680634</v>
      </c>
      <c r="C19" s="1">
        <v>50</v>
      </c>
      <c r="D19" s="1">
        <v>0</v>
      </c>
      <c r="E19" s="1">
        <v>50</v>
      </c>
      <c r="F19" s="1">
        <v>0</v>
      </c>
      <c r="G19" s="1">
        <v>0</v>
      </c>
      <c r="H19" s="1">
        <v>0</v>
      </c>
    </row>
    <row r="20" spans="1:8">
      <c r="A20" s="1" t="s">
        <v>18</v>
      </c>
      <c r="B20" s="2">
        <v>0.04426819086074829</v>
      </c>
      <c r="C20" s="1">
        <v>48</v>
      </c>
      <c r="D20" s="1">
        <v>0</v>
      </c>
      <c r="E20" s="1">
        <v>48</v>
      </c>
      <c r="F20" s="1">
        <v>0</v>
      </c>
      <c r="G20" s="1">
        <v>0</v>
      </c>
      <c r="H20" s="1">
        <v>0</v>
      </c>
    </row>
    <row r="21" spans="1:8">
      <c r="A21" s="1" t="s">
        <v>19</v>
      </c>
      <c r="B21" s="2">
        <v>0.03689016029238701</v>
      </c>
      <c r="C21" s="1">
        <v>40</v>
      </c>
      <c r="D21" s="1">
        <v>0</v>
      </c>
      <c r="E21" s="1">
        <v>40</v>
      </c>
      <c r="F21" s="1">
        <v>0</v>
      </c>
      <c r="G21" s="1">
        <v>0</v>
      </c>
      <c r="H21" s="1">
        <v>0</v>
      </c>
    </row>
    <row r="22" spans="1:8">
      <c r="A22" s="1" t="s">
        <v>20</v>
      </c>
      <c r="B22" s="2">
        <v>0.03504564985632896</v>
      </c>
      <c r="C22" s="1">
        <v>38</v>
      </c>
      <c r="D22" s="1">
        <v>0</v>
      </c>
      <c r="E22" s="1">
        <v>38</v>
      </c>
      <c r="F22" s="1">
        <v>0</v>
      </c>
      <c r="G22" s="1">
        <v>0</v>
      </c>
      <c r="H22" s="1">
        <v>0</v>
      </c>
    </row>
    <row r="23" spans="1:8">
      <c r="A23" s="1" t="s">
        <v>21</v>
      </c>
      <c r="B23" s="2">
        <v>0.03320114314556122</v>
      </c>
      <c r="C23" s="1">
        <v>36</v>
      </c>
      <c r="D23" s="1">
        <v>0</v>
      </c>
      <c r="E23" s="1">
        <v>36</v>
      </c>
      <c r="F23" s="1">
        <v>0</v>
      </c>
      <c r="G23" s="1">
        <v>0</v>
      </c>
      <c r="H23" s="1">
        <v>0</v>
      </c>
    </row>
    <row r="24" spans="1:8">
      <c r="A24" s="1" t="s">
        <v>22</v>
      </c>
      <c r="B24" s="2">
        <v>0.03320114314556122</v>
      </c>
      <c r="C24" s="1">
        <v>36</v>
      </c>
      <c r="D24" s="1">
        <v>0</v>
      </c>
      <c r="E24" s="1">
        <v>36</v>
      </c>
      <c r="F24" s="1">
        <v>0</v>
      </c>
      <c r="G24" s="1">
        <v>0</v>
      </c>
      <c r="H24" s="1">
        <v>0</v>
      </c>
    </row>
    <row r="25" spans="1:8">
      <c r="A25" s="1" t="s">
        <v>23</v>
      </c>
      <c r="B25" s="2">
        <v>0.02951212786138058</v>
      </c>
      <c r="C25" s="1">
        <v>32</v>
      </c>
      <c r="D25" s="1">
        <v>0</v>
      </c>
      <c r="E25" s="1">
        <v>32</v>
      </c>
      <c r="F25" s="1">
        <v>0</v>
      </c>
      <c r="G25" s="1">
        <v>0</v>
      </c>
      <c r="H25" s="1">
        <v>0</v>
      </c>
    </row>
    <row r="26" spans="1:8">
      <c r="A26" s="1" t="s">
        <v>24</v>
      </c>
      <c r="B26" s="2">
        <v>0.02766761928796768</v>
      </c>
      <c r="C26" s="1">
        <v>30</v>
      </c>
      <c r="D26" s="1">
        <v>0</v>
      </c>
      <c r="E26" s="1">
        <v>30</v>
      </c>
      <c r="F26" s="1">
        <v>0</v>
      </c>
      <c r="G26" s="1">
        <v>0</v>
      </c>
      <c r="H26" s="1">
        <v>0</v>
      </c>
    </row>
    <row r="27" spans="1:8">
      <c r="A27" s="1" t="s">
        <v>25</v>
      </c>
      <c r="B27" s="2">
        <v>0.02766761928796768</v>
      </c>
      <c r="C27" s="1">
        <v>30</v>
      </c>
      <c r="D27" s="1">
        <v>0</v>
      </c>
      <c r="E27" s="1">
        <v>30</v>
      </c>
      <c r="F27" s="1">
        <v>0</v>
      </c>
      <c r="G27" s="1">
        <v>0</v>
      </c>
      <c r="H27" s="1">
        <v>0</v>
      </c>
    </row>
    <row r="28" spans="1:8">
      <c r="A28" s="1" t="s">
        <v>26</v>
      </c>
      <c r="B28" s="2">
        <v>0.02582311257719994</v>
      </c>
      <c r="C28" s="1">
        <v>28</v>
      </c>
      <c r="D28" s="1">
        <v>0</v>
      </c>
      <c r="E28" s="1">
        <v>28</v>
      </c>
      <c r="F28" s="1">
        <v>0</v>
      </c>
      <c r="G28" s="1">
        <v>0</v>
      </c>
      <c r="H28" s="1">
        <v>0</v>
      </c>
    </row>
    <row r="29" spans="1:8">
      <c r="A29" s="1" t="s">
        <v>27</v>
      </c>
      <c r="B29" s="2">
        <v>0.02582311257719994</v>
      </c>
      <c r="C29" s="1">
        <v>28</v>
      </c>
      <c r="D29" s="1">
        <v>0</v>
      </c>
      <c r="E29" s="1">
        <v>28</v>
      </c>
      <c r="F29" s="1">
        <v>0</v>
      </c>
      <c r="G29" s="1">
        <v>0</v>
      </c>
      <c r="H29" s="1">
        <v>0</v>
      </c>
    </row>
    <row r="30" spans="1:8">
      <c r="A30" s="1" t="s">
        <v>28</v>
      </c>
      <c r="B30" s="2">
        <v>0.02582311257719994</v>
      </c>
      <c r="C30" s="1">
        <v>28</v>
      </c>
      <c r="D30" s="1">
        <v>0</v>
      </c>
      <c r="E30" s="1">
        <v>28</v>
      </c>
      <c r="F30" s="1">
        <v>0</v>
      </c>
      <c r="G30" s="1">
        <v>0</v>
      </c>
      <c r="H30" s="1">
        <v>0</v>
      </c>
    </row>
    <row r="31" spans="1:8">
      <c r="A31" s="1" t="s">
        <v>29</v>
      </c>
      <c r="B31" s="2">
        <v>0.02582311257719994</v>
      </c>
      <c r="C31" s="1">
        <v>28</v>
      </c>
      <c r="D31" s="1">
        <v>0</v>
      </c>
      <c r="E31" s="1">
        <v>28</v>
      </c>
      <c r="F31" s="1">
        <v>0</v>
      </c>
      <c r="G31" s="1">
        <v>0</v>
      </c>
      <c r="H31" s="1">
        <v>0</v>
      </c>
    </row>
    <row r="32" spans="1:8">
      <c r="A32" s="1" t="s">
        <v>30</v>
      </c>
      <c r="B32" s="2">
        <v>0.02582311257719994</v>
      </c>
      <c r="C32" s="1">
        <v>28</v>
      </c>
      <c r="D32" s="1">
        <v>0</v>
      </c>
      <c r="E32" s="1">
        <v>28</v>
      </c>
      <c r="F32" s="1">
        <v>0</v>
      </c>
      <c r="G32" s="1">
        <v>0</v>
      </c>
      <c r="H32" s="1">
        <v>0</v>
      </c>
    </row>
    <row r="33" spans="1:8">
      <c r="A33" s="1" t="s">
        <v>31</v>
      </c>
      <c r="B33" s="2">
        <v>0.02397860400378704</v>
      </c>
      <c r="C33" s="1">
        <v>26</v>
      </c>
      <c r="D33" s="1">
        <v>0</v>
      </c>
      <c r="E33" s="1">
        <v>26</v>
      </c>
      <c r="F33" s="1">
        <v>0</v>
      </c>
      <c r="G33" s="1">
        <v>0</v>
      </c>
      <c r="H33" s="1">
        <v>0</v>
      </c>
    </row>
    <row r="34" spans="1:8">
      <c r="A34" s="1" t="s">
        <v>32</v>
      </c>
      <c r="B34" s="2">
        <v>0.01660057157278061</v>
      </c>
      <c r="C34" s="1">
        <v>18</v>
      </c>
      <c r="D34" s="1">
        <v>0</v>
      </c>
      <c r="E34" s="1">
        <v>18</v>
      </c>
      <c r="F34" s="1">
        <v>0</v>
      </c>
      <c r="G34" s="1">
        <v>0</v>
      </c>
      <c r="H34" s="1">
        <v>0</v>
      </c>
    </row>
    <row r="35" spans="1:8">
      <c r="A35" s="1" t="s">
        <v>33</v>
      </c>
      <c r="B35" s="2">
        <v>0.009222540073096752</v>
      </c>
      <c r="C35" s="1">
        <v>10</v>
      </c>
      <c r="D35" s="1">
        <v>0</v>
      </c>
      <c r="E35" s="1">
        <v>10</v>
      </c>
      <c r="F35" s="1">
        <v>0</v>
      </c>
      <c r="G35" s="1">
        <v>0</v>
      </c>
      <c r="H35" s="1">
        <v>0</v>
      </c>
    </row>
    <row r="36" spans="1:8">
      <c r="A36" s="1" t="s">
        <v>34</v>
      </c>
      <c r="B36" s="2">
        <v>0.007378031965345144</v>
      </c>
      <c r="C36" s="1">
        <v>8</v>
      </c>
      <c r="D36" s="1">
        <v>0</v>
      </c>
      <c r="E36" s="1">
        <v>8</v>
      </c>
      <c r="F36" s="1">
        <v>0</v>
      </c>
      <c r="G36" s="1">
        <v>0</v>
      </c>
      <c r="H36" s="1">
        <v>0</v>
      </c>
    </row>
    <row r="37" spans="1:8">
      <c r="A37" s="1" t="s">
        <v>35</v>
      </c>
      <c r="B37" s="2">
        <v>0.007378031965345144</v>
      </c>
      <c r="C37" s="1">
        <v>8</v>
      </c>
      <c r="D37" s="1">
        <v>0</v>
      </c>
      <c r="E37" s="1">
        <v>8</v>
      </c>
      <c r="F37" s="1">
        <v>0</v>
      </c>
      <c r="G37" s="1">
        <v>0</v>
      </c>
      <c r="H37" s="1">
        <v>0</v>
      </c>
    </row>
    <row r="38" spans="1:8">
      <c r="A38" s="1" t="s">
        <v>36</v>
      </c>
      <c r="B38" s="2">
        <v>0.003689015982672572</v>
      </c>
      <c r="C38" s="1">
        <v>4</v>
      </c>
      <c r="D38" s="1">
        <v>0</v>
      </c>
      <c r="E38" s="1">
        <v>4</v>
      </c>
      <c r="F38" s="1">
        <v>0</v>
      </c>
      <c r="G38" s="1">
        <v>0</v>
      </c>
      <c r="H38" s="1">
        <v>0</v>
      </c>
    </row>
    <row r="39" spans="1:8">
      <c r="A39" t="s">
        <v>38</v>
      </c>
      <c r="B39">
        <f>SUBTOTAL(109,[flash_percent])</f>
        <v>0</v>
      </c>
      <c r="C39">
        <f>SUBTOTAL(109,[flash])</f>
        <v>0</v>
      </c>
      <c r="D39">
        <f>SUBTOTAL(109,[ram])</f>
        <v>0</v>
      </c>
      <c r="E39">
        <f>SUBTOTAL(109,[Code])</f>
        <v>0</v>
      </c>
      <c r="F39">
        <f>SUBTOTAL(109,[RO_data])</f>
        <v>0</v>
      </c>
      <c r="G39">
        <f>SUBTOTAL(109,[RW_data])</f>
        <v>0</v>
      </c>
      <c r="H39">
        <f>SUBTOTAL(109,[ZI_data])</f>
        <v>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ram_percent</vt:lpstr>
      <vt:lpstr>flash_percent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2026-05-16T06:49:55Z</dcterms:created>
  <dcterms:modified xsi:type="dcterms:W3CDTF">2026-05-16T06:49:55Z</dcterms:modified>
</cp:coreProperties>
</file>